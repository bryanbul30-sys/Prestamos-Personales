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strucciones" sheetId="2" state="visible" r:id="rId2"/>
    <sheet name="Prestamos" sheetId="3" state="visible" r:id="rId3"/>
    <sheet name="Pagos" sheetId="4" state="visible" r:id="rId4"/>
  </sheets>
  <definedNames>
    <definedName name="_xlnm._FilterDatabase" localSheetId="2" hidden="1">'Prestamos'!$A$1:$M$400</definedName>
    <definedName name="_xlnm._FilterDatabase" localSheetId="3" hidden="1">'Pagos'!$A$1:$I$400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₡&quot;#,##0;(&quot;₡&quot;#,##0);&quot;-&quot;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color rgb="000000FF"/>
    </font>
    <font>
      <name val="Arial"/>
      <color rgb="00000000"/>
    </font>
    <font>
      <name val="Arial"/>
      <b val="1"/>
      <color rgb="00FFFFFF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3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6" fillId="3" borderId="1" applyAlignment="1" pivotButton="0" quotePrefix="0" xfId="0">
      <alignment vertical="center" wrapText="1"/>
    </xf>
    <xf numFmtId="0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5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>
      <c r="A1" s="1" t="inlineStr">
        <is>
          <t>Resumen General - Control de Prestamos</t>
        </is>
      </c>
    </row>
    <row r="2">
      <c r="A2" s="2" t="inlineStr">
        <is>
          <t>Dias de gracia antes de marcar Atrasado</t>
        </is>
      </c>
      <c r="B2" s="3" t="n">
        <v>3</v>
      </c>
      <c r="C2" s="4" t="inlineStr">
        <is>
          <t>Supuesto ajustable: dias extra de tolerancia sumados al ciclo de pago antes de marcar un prestamo como Atrasado.</t>
        </is>
      </c>
    </row>
    <row r="4">
      <c r="A4" s="5" t="inlineStr">
        <is>
          <t>Indicador</t>
        </is>
      </c>
      <c r="B4" s="5" t="inlineStr">
        <is>
          <t>Valor</t>
        </is>
      </c>
    </row>
    <row r="5">
      <c r="A5" s="2" t="inlineStr">
        <is>
          <t>Total prestado (historico)</t>
        </is>
      </c>
      <c r="B5" s="6">
        <f>SUM(Prestamos!D2:D400)</f>
        <v/>
      </c>
    </row>
    <row r="6">
      <c r="A6" s="2" t="inlineStr">
        <is>
          <t>Capital pendiente actual</t>
        </is>
      </c>
      <c r="B6" s="6">
        <f>SUM(Prestamos!G2:G400)</f>
        <v/>
      </c>
    </row>
    <row r="7">
      <c r="A7" s="2" t="inlineStr">
        <is>
          <t>Total cobrado (capital+interes)</t>
        </is>
      </c>
      <c r="B7" s="6">
        <f>SUM(Prestamos!H2:H400)</f>
        <v/>
      </c>
    </row>
    <row r="8">
      <c r="A8" s="2" t="inlineStr">
        <is>
          <t>Interes total cobrado</t>
        </is>
      </c>
      <c r="B8" s="6">
        <f>SUM(Prestamos!I2:I400)</f>
        <v/>
      </c>
    </row>
    <row r="9">
      <c r="A9" s="2" t="inlineStr">
        <is>
          <t>Prestamos activos</t>
        </is>
      </c>
      <c r="B9" s="7">
        <f>COUNTIFS(Prestamos!A2:A400,"&lt;&gt;",Prestamos!M2:M400,"&lt;&gt;Pagado")</f>
        <v/>
      </c>
    </row>
    <row r="10">
      <c r="A10" s="2" t="inlineStr">
        <is>
          <t>Prestamos atrasados</t>
        </is>
      </c>
      <c r="B10" s="7">
        <f>COUNTIF(Prestamos!M2:M400,"Atrasado")</f>
        <v/>
      </c>
    </row>
    <row r="11">
      <c r="A11" s="2" t="inlineStr">
        <is>
          <t>Prestamos pagados</t>
        </is>
      </c>
      <c r="B11" s="7">
        <f>COUNTIF(Prestamos!M2:M400,"Pagado")</f>
        <v/>
      </c>
    </row>
    <row r="13">
      <c r="A13" s="4" t="inlineStr">
        <is>
          <t>Consejo: usa el filtro (flecha en el encabezado) de la pestana Prestamos, columna Estado, para ver solo los Atrasados.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Control de Prestamos - Guia rapida</t>
        </is>
      </c>
    </row>
    <row r="3">
      <c r="A3" s="2" t="inlineStr">
        <is>
          <t>Este libro reemplaza el registro manual de prestamos en Excel por uno con formulas automaticas.</t>
        </is>
      </c>
    </row>
    <row r="5">
      <c r="A5" s="5" t="inlineStr">
        <is>
          <t>Como funciona el calculo de interes (segun lo que me indicaste):</t>
        </is>
      </c>
    </row>
    <row r="6">
      <c r="A6" s="2" t="inlineStr">
        <is>
          <t>- Cada prestamo tiene su propia tasa de interes por periodo (columna Tasa en la pestana Prestamos).</t>
        </is>
      </c>
    </row>
    <row r="7">
      <c r="A7" s="2" t="inlineStr">
        <is>
          <t>- Cada vez que registras un pago en la pestana Pagos, el sistema calcula el interes sobre el saldo</t>
        </is>
      </c>
    </row>
    <row r="8">
      <c r="A8" s="2" t="inlineStr">
        <is>
          <t xml:space="preserve">  pendiente de ESE prestamo (saldo x tasa).</t>
        </is>
      </c>
    </row>
    <row r="9">
      <c r="A9" s="2" t="inlineStr">
        <is>
          <t>- Si el pago es mayor al interes, la diferencia abona a capital y el saldo baja.</t>
        </is>
      </c>
    </row>
    <row r="10">
      <c r="A10" s="2" t="inlineStr">
        <is>
          <t>- Si el pago es menor o igual al interes, no se abona nada a capital ese periodo (el saldo no baja).</t>
        </is>
      </c>
    </row>
    <row r="11">
      <c r="A11" s="2" t="inlineStr">
        <is>
          <t xml:space="preserve">  Supuesto: el interes no cubierto NO se acumula ni genera interes sobre interes.</t>
        </is>
      </c>
    </row>
    <row r="13">
      <c r="A13" s="5" t="inlineStr">
        <is>
          <t>Colores (mismo criterio en todas las pestanas):</t>
        </is>
      </c>
    </row>
    <row r="14">
      <c r="A14" s="8" t="inlineStr">
        <is>
          <t xml:space="preserve">  Texto azul = tu escribes aqui (dato de entrada)</t>
        </is>
      </c>
    </row>
    <row r="15">
      <c r="A15" s="7" t="inlineStr">
        <is>
          <t xml:space="preserve">  Texto negro = formula automatica, no la edites</t>
        </is>
      </c>
    </row>
    <row r="16">
      <c r="A16" s="9" t="inlineStr">
        <is>
          <t xml:space="preserve">  Celda amarilla = supuesto ajustable (puedes cambiar el valor)</t>
        </is>
      </c>
    </row>
    <row r="18">
      <c r="A18" s="5" t="inlineStr">
        <is>
          <t>Pestanas:</t>
        </is>
      </c>
    </row>
    <row r="19">
      <c r="A19" s="2" t="inlineStr">
        <is>
          <t>- Prestamos: un renglon por cada prestamo activo. Llena Cliente, Fecha de inicio, Monto, Tasa y</t>
        </is>
      </c>
    </row>
    <row r="20">
      <c r="A20" s="2" t="inlineStr">
        <is>
          <t xml:space="preserve">  Frecuencia; el resto (saldo, total pagado, estado) se calcula solo.</t>
        </is>
      </c>
    </row>
    <row r="21">
      <c r="A21" s="2" t="inlineStr">
        <is>
          <t>- Pagos: un renglon por cada pago que recibas. Elige el ID de prestamo (lista desplegable), la fecha</t>
        </is>
      </c>
    </row>
    <row r="22">
      <c r="A22" s="2" t="inlineStr">
        <is>
          <t xml:space="preserve">  y el monto pagado; el sistema calcula interes, abono a capital y saldo nuevo.</t>
        </is>
      </c>
    </row>
    <row r="23">
      <c r="A23" s="2" t="inlineStr">
        <is>
          <t>- Resumen: totales generales del negocio (cuanto tienes prestado, cuanto has cobrado, cuantos</t>
        </is>
      </c>
    </row>
    <row r="24">
      <c r="A24" s="2" t="inlineStr">
        <is>
          <t xml:space="preserve">  prestamos estan atrasados). El 'dia de gracia' antes de marcar Atrasado es ajustable ahi.</t>
        </is>
      </c>
    </row>
    <row r="26">
      <c r="A26" s="5" t="inlineStr">
        <is>
          <t>Ejemplo incluido:</t>
        </is>
      </c>
    </row>
    <row r="27">
      <c r="A27" s="2" t="inlineStr">
        <is>
          <t>Deje un prestamo de ejemplo (Cliente Ejemplo) con dos pagos ya registrados en Pagos, para que veas</t>
        </is>
      </c>
    </row>
    <row r="28">
      <c r="A28" s="2" t="inlineStr">
        <is>
          <t>como quedan los calculos. Borralo antes de empezar a usar el libro con tus datos reales.</t>
        </is>
      </c>
    </row>
    <row r="30">
      <c r="A30" s="5" t="inlineStr">
        <is>
          <t>Pendiente para una siguiente vuelta:</t>
        </is>
      </c>
    </row>
    <row r="31">
      <c r="A31" s="2" t="inlineStr">
        <is>
          <t>Tu archivo original 'Control de Pan1.xlsx' tiene 171 filas historicas en la pestana Prestamos, con</t>
        </is>
      </c>
    </row>
    <row r="32">
      <c r="A32" s="2" t="inlineStr">
        <is>
          <t>codigos de frecuencia inconsistentes (D, S, Q, M, L, fechas sueltas) y sin un modelo de interes claro.</t>
        </is>
      </c>
    </row>
    <row r="33">
      <c r="A33" s="2" t="inlineStr">
        <is>
          <t>Si quieres, en otra sesion revisamos ese historico contigo, prestamo por prestamo, para migrar solo</t>
        </is>
      </c>
    </row>
    <row r="34">
      <c r="A34" s="2" t="inlineStr">
        <is>
          <t>los prestamos que siguen activos a este nuevo formato -- no lo hice automatico para no adivinar mal</t>
        </is>
      </c>
    </row>
    <row r="35">
      <c r="A35" s="2" t="inlineStr">
        <is>
          <t>montos o saldos con dinero real de por medio.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6" customWidth="1" min="4" max="4"/>
    <col width="14" customWidth="1" min="5" max="5"/>
    <col width="16" customWidth="1" min="6" max="6"/>
    <col width="15" customWidth="1" min="7" max="7"/>
    <col width="14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ID Prestamo</t>
        </is>
      </c>
      <c r="B1" s="10" t="inlineStr">
        <is>
          <t>Cliente</t>
        </is>
      </c>
      <c r="C1" s="10" t="inlineStr">
        <is>
          <t>Fecha inicio</t>
        </is>
      </c>
      <c r="D1" s="10" t="inlineStr">
        <is>
          <t>Monto prestado</t>
        </is>
      </c>
      <c r="E1" s="10" t="inlineStr">
        <is>
          <t>Tasa interes (%/periodo)</t>
        </is>
      </c>
      <c r="F1" s="10" t="inlineStr">
        <is>
          <t>Frecuencia de pago</t>
        </is>
      </c>
      <c r="G1" s="10" t="inlineStr">
        <is>
          <t>Saldo pendiente</t>
        </is>
      </c>
      <c r="H1" s="10" t="inlineStr">
        <is>
          <t>Total pagado</t>
        </is>
      </c>
      <c r="I1" s="10" t="inlineStr">
        <is>
          <t>Interes cobrado</t>
        </is>
      </c>
      <c r="J1" s="10" t="inlineStr">
        <is>
          <t>Fecha ultimo pago</t>
        </is>
      </c>
      <c r="K1" s="10" t="inlineStr">
        <is>
          <t>Dias desde referencia</t>
        </is>
      </c>
      <c r="L1" s="10" t="inlineStr">
        <is>
          <t>Dias max permitidos</t>
        </is>
      </c>
      <c r="M1" s="10" t="inlineStr">
        <is>
          <t>Estado</t>
        </is>
      </c>
    </row>
    <row r="2">
      <c r="A2" s="11">
        <f>IF(B2="","","P"&amp;TEXT(ROW()-1,"000"))</f>
        <v/>
      </c>
      <c r="B2" s="12" t="inlineStr">
        <is>
          <t>Cliente Ejemplo</t>
        </is>
      </c>
      <c r="C2" s="13" t="inlineStr">
        <is>
          <t>2026-06-01</t>
        </is>
      </c>
      <c r="D2" s="14" t="n">
        <v>100000</v>
      </c>
      <c r="E2" s="15" t="n">
        <v>0.1</v>
      </c>
      <c r="F2" s="12" t="inlineStr">
        <is>
          <t>Quincenal</t>
        </is>
      </c>
      <c r="G2" s="16">
        <f>IF(B2="","",D2-SUMIFS(Pagos!$H:$H,Pagos!$B:$B,A2))</f>
        <v/>
      </c>
      <c r="H2" s="16">
        <f>IF(B2="","",SUMIFS(Pagos!$E:$E,Pagos!$B:$B,A2))</f>
        <v/>
      </c>
      <c r="I2" s="16">
        <f>IF(B2="","",SUMIFS(Pagos!$G:$G,Pagos!$B:$B,A2))</f>
        <v/>
      </c>
      <c r="J2" s="17">
        <f>IF(B2="","",IF(COUNTIF(Pagos!$B:$B,A2)=0,"",_xlfn.MAXIFS(Pagos!$D:$D,Pagos!$B:$B,A2)))</f>
        <v/>
      </c>
      <c r="K2" s="11">
        <f>IF(B2="","",IF(J2="",TODAY()-C2,TODAY()-J2))</f>
        <v/>
      </c>
      <c r="L2" s="11">
        <f>IF(B2="","",IF(F2="Diario",1,IF(F2="Semanal",7,IF(F2="Quincenal",15,IF(F2="Mensual",30,30))))+Resumen!$B$2)</f>
        <v/>
      </c>
      <c r="M2" s="11">
        <f>IF(B2="","",IF(G2&lt;=0,"Pagado",IF(K2&gt;L2,"Atrasado","Al dia")))</f>
        <v/>
      </c>
    </row>
    <row r="3">
      <c r="A3" s="11">
        <f>IF(B3="","","P"&amp;TEXT(ROW()-1,"000"))</f>
        <v/>
      </c>
      <c r="B3" s="12" t="n"/>
      <c r="C3" s="13" t="n"/>
      <c r="D3" s="14" t="n"/>
      <c r="E3" s="15" t="n"/>
      <c r="F3" s="12" t="n"/>
      <c r="G3" s="16">
        <f>IF(B3="","",D3-SUMIFS(Pagos!$H:$H,Pagos!$B:$B,A3))</f>
        <v/>
      </c>
      <c r="H3" s="16">
        <f>IF(B3="","",SUMIFS(Pagos!$E:$E,Pagos!$B:$B,A3))</f>
        <v/>
      </c>
      <c r="I3" s="16">
        <f>IF(B3="","",SUMIFS(Pagos!$G:$G,Pagos!$B:$B,A3))</f>
        <v/>
      </c>
      <c r="J3" s="17">
        <f>IF(B3="","",IF(COUNTIF(Pagos!$B:$B,A3)=0,"",_xlfn.MAXIFS(Pagos!$D:$D,Pagos!$B:$B,A3)))</f>
        <v/>
      </c>
      <c r="K3" s="11">
        <f>IF(B3="","",IF(J3="",TODAY()-C3,TODAY()-J3))</f>
        <v/>
      </c>
      <c r="L3" s="11">
        <f>IF(B3="","",IF(F3="Diario",1,IF(F3="Semanal",7,IF(F3="Quincenal",15,IF(F3="Mensual",30,30))))+Resumen!$B$2)</f>
        <v/>
      </c>
      <c r="M3" s="11">
        <f>IF(B3="","",IF(G3&lt;=0,"Pagado",IF(K3&gt;L3,"Atrasado","Al dia")))</f>
        <v/>
      </c>
    </row>
    <row r="4">
      <c r="A4" s="11">
        <f>IF(B4="","","P"&amp;TEXT(ROW()-1,"000"))</f>
        <v/>
      </c>
      <c r="B4" s="12" t="n"/>
      <c r="C4" s="13" t="n"/>
      <c r="D4" s="14" t="n"/>
      <c r="E4" s="15" t="n"/>
      <c r="F4" s="12" t="n"/>
      <c r="G4" s="16">
        <f>IF(B4="","",D4-SUMIFS(Pagos!$H:$H,Pagos!$B:$B,A4))</f>
        <v/>
      </c>
      <c r="H4" s="16">
        <f>IF(B4="","",SUMIFS(Pagos!$E:$E,Pagos!$B:$B,A4))</f>
        <v/>
      </c>
      <c r="I4" s="16">
        <f>IF(B4="","",SUMIFS(Pagos!$G:$G,Pagos!$B:$B,A4))</f>
        <v/>
      </c>
      <c r="J4" s="17">
        <f>IF(B4="","",IF(COUNTIF(Pagos!$B:$B,A4)=0,"",_xlfn.MAXIFS(Pagos!$D:$D,Pagos!$B:$B,A4)))</f>
        <v/>
      </c>
      <c r="K4" s="11">
        <f>IF(B4="","",IF(J4="",TODAY()-C4,TODAY()-J4))</f>
        <v/>
      </c>
      <c r="L4" s="11">
        <f>IF(B4="","",IF(F4="Diario",1,IF(F4="Semanal",7,IF(F4="Quincenal",15,IF(F4="Mensual",30,30))))+Resumen!$B$2)</f>
        <v/>
      </c>
      <c r="M4" s="11">
        <f>IF(B4="","",IF(G4&lt;=0,"Pagado",IF(K4&gt;L4,"Atrasado","Al dia")))</f>
        <v/>
      </c>
    </row>
    <row r="5">
      <c r="A5" s="11">
        <f>IF(B5="","","P"&amp;TEXT(ROW()-1,"000"))</f>
        <v/>
      </c>
      <c r="B5" s="12" t="n"/>
      <c r="C5" s="13" t="n"/>
      <c r="D5" s="14" t="n"/>
      <c r="E5" s="15" t="n"/>
      <c r="F5" s="12" t="n"/>
      <c r="G5" s="16">
        <f>IF(B5="","",D5-SUMIFS(Pagos!$H:$H,Pagos!$B:$B,A5))</f>
        <v/>
      </c>
      <c r="H5" s="16">
        <f>IF(B5="","",SUMIFS(Pagos!$E:$E,Pagos!$B:$B,A5))</f>
        <v/>
      </c>
      <c r="I5" s="16">
        <f>IF(B5="","",SUMIFS(Pagos!$G:$G,Pagos!$B:$B,A5))</f>
        <v/>
      </c>
      <c r="J5" s="17">
        <f>IF(B5="","",IF(COUNTIF(Pagos!$B:$B,A5)=0,"",_xlfn.MAXIFS(Pagos!$D:$D,Pagos!$B:$B,A5)))</f>
        <v/>
      </c>
      <c r="K5" s="11">
        <f>IF(B5="","",IF(J5="",TODAY()-C5,TODAY()-J5))</f>
        <v/>
      </c>
      <c r="L5" s="11">
        <f>IF(B5="","",IF(F5="Diario",1,IF(F5="Semanal",7,IF(F5="Quincenal",15,IF(F5="Mensual",30,30))))+Resumen!$B$2)</f>
        <v/>
      </c>
      <c r="M5" s="11">
        <f>IF(B5="","",IF(G5&lt;=0,"Pagado",IF(K5&gt;L5,"Atrasado","Al dia")))</f>
        <v/>
      </c>
    </row>
    <row r="6">
      <c r="A6" s="11">
        <f>IF(B6="","","P"&amp;TEXT(ROW()-1,"000"))</f>
        <v/>
      </c>
      <c r="B6" s="12" t="n"/>
      <c r="C6" s="13" t="n"/>
      <c r="D6" s="14" t="n"/>
      <c r="E6" s="15" t="n"/>
      <c r="F6" s="12" t="n"/>
      <c r="G6" s="16">
        <f>IF(B6="","",D6-SUMIFS(Pagos!$H:$H,Pagos!$B:$B,A6))</f>
        <v/>
      </c>
      <c r="H6" s="16">
        <f>IF(B6="","",SUMIFS(Pagos!$E:$E,Pagos!$B:$B,A6))</f>
        <v/>
      </c>
      <c r="I6" s="16">
        <f>IF(B6="","",SUMIFS(Pagos!$G:$G,Pagos!$B:$B,A6))</f>
        <v/>
      </c>
      <c r="J6" s="17">
        <f>IF(B6="","",IF(COUNTIF(Pagos!$B:$B,A6)=0,"",_xlfn.MAXIFS(Pagos!$D:$D,Pagos!$B:$B,A6)))</f>
        <v/>
      </c>
      <c r="K6" s="11">
        <f>IF(B6="","",IF(J6="",TODAY()-C6,TODAY()-J6))</f>
        <v/>
      </c>
      <c r="L6" s="11">
        <f>IF(B6="","",IF(F6="Diario",1,IF(F6="Semanal",7,IF(F6="Quincenal",15,IF(F6="Mensual",30,30))))+Resumen!$B$2)</f>
        <v/>
      </c>
      <c r="M6" s="11">
        <f>IF(B6="","",IF(G6&lt;=0,"Pagado",IF(K6&gt;L6,"Atrasado","Al dia")))</f>
        <v/>
      </c>
    </row>
    <row r="7">
      <c r="A7" s="11">
        <f>IF(B7="","","P"&amp;TEXT(ROW()-1,"000"))</f>
        <v/>
      </c>
      <c r="B7" s="12" t="n"/>
      <c r="C7" s="13" t="n"/>
      <c r="D7" s="14" t="n"/>
      <c r="E7" s="15" t="n"/>
      <c r="F7" s="12" t="n"/>
      <c r="G7" s="16">
        <f>IF(B7="","",D7-SUMIFS(Pagos!$H:$H,Pagos!$B:$B,A7))</f>
        <v/>
      </c>
      <c r="H7" s="16">
        <f>IF(B7="","",SUMIFS(Pagos!$E:$E,Pagos!$B:$B,A7))</f>
        <v/>
      </c>
      <c r="I7" s="16">
        <f>IF(B7="","",SUMIFS(Pagos!$G:$G,Pagos!$B:$B,A7))</f>
        <v/>
      </c>
      <c r="J7" s="17">
        <f>IF(B7="","",IF(COUNTIF(Pagos!$B:$B,A7)=0,"",_xlfn.MAXIFS(Pagos!$D:$D,Pagos!$B:$B,A7)))</f>
        <v/>
      </c>
      <c r="K7" s="11">
        <f>IF(B7="","",IF(J7="",TODAY()-C7,TODAY()-J7))</f>
        <v/>
      </c>
      <c r="L7" s="11">
        <f>IF(B7="","",IF(F7="Diario",1,IF(F7="Semanal",7,IF(F7="Quincenal",15,IF(F7="Mensual",30,30))))+Resumen!$B$2)</f>
        <v/>
      </c>
      <c r="M7" s="11">
        <f>IF(B7="","",IF(G7&lt;=0,"Pagado",IF(K7&gt;L7,"Atrasado","Al dia")))</f>
        <v/>
      </c>
    </row>
    <row r="8">
      <c r="A8" s="11">
        <f>IF(B8="","","P"&amp;TEXT(ROW()-1,"000"))</f>
        <v/>
      </c>
      <c r="B8" s="12" t="n"/>
      <c r="C8" s="13" t="n"/>
      <c r="D8" s="14" t="n"/>
      <c r="E8" s="15" t="n"/>
      <c r="F8" s="12" t="n"/>
      <c r="G8" s="16">
        <f>IF(B8="","",D8-SUMIFS(Pagos!$H:$H,Pagos!$B:$B,A8))</f>
        <v/>
      </c>
      <c r="H8" s="16">
        <f>IF(B8="","",SUMIFS(Pagos!$E:$E,Pagos!$B:$B,A8))</f>
        <v/>
      </c>
      <c r="I8" s="16">
        <f>IF(B8="","",SUMIFS(Pagos!$G:$G,Pagos!$B:$B,A8))</f>
        <v/>
      </c>
      <c r="J8" s="17">
        <f>IF(B8="","",IF(COUNTIF(Pagos!$B:$B,A8)=0,"",_xlfn.MAXIFS(Pagos!$D:$D,Pagos!$B:$B,A8)))</f>
        <v/>
      </c>
      <c r="K8" s="11">
        <f>IF(B8="","",IF(J8="",TODAY()-C8,TODAY()-J8))</f>
        <v/>
      </c>
      <c r="L8" s="11">
        <f>IF(B8="","",IF(F8="Diario",1,IF(F8="Semanal",7,IF(F8="Quincenal",15,IF(F8="Mensual",30,30))))+Resumen!$B$2)</f>
        <v/>
      </c>
      <c r="M8" s="11">
        <f>IF(B8="","",IF(G8&lt;=0,"Pagado",IF(K8&gt;L8,"Atrasado","Al dia")))</f>
        <v/>
      </c>
    </row>
    <row r="9">
      <c r="A9" s="11">
        <f>IF(B9="","","P"&amp;TEXT(ROW()-1,"000"))</f>
        <v/>
      </c>
      <c r="B9" s="12" t="n"/>
      <c r="C9" s="13" t="n"/>
      <c r="D9" s="14" t="n"/>
      <c r="E9" s="15" t="n"/>
      <c r="F9" s="12" t="n"/>
      <c r="G9" s="16">
        <f>IF(B9="","",D9-SUMIFS(Pagos!$H:$H,Pagos!$B:$B,A9))</f>
        <v/>
      </c>
      <c r="H9" s="16">
        <f>IF(B9="","",SUMIFS(Pagos!$E:$E,Pagos!$B:$B,A9))</f>
        <v/>
      </c>
      <c r="I9" s="16">
        <f>IF(B9="","",SUMIFS(Pagos!$G:$G,Pagos!$B:$B,A9))</f>
        <v/>
      </c>
      <c r="J9" s="17">
        <f>IF(B9="","",IF(COUNTIF(Pagos!$B:$B,A9)=0,"",_xlfn.MAXIFS(Pagos!$D:$D,Pagos!$B:$B,A9)))</f>
        <v/>
      </c>
      <c r="K9" s="11">
        <f>IF(B9="","",IF(J9="",TODAY()-C9,TODAY()-J9))</f>
        <v/>
      </c>
      <c r="L9" s="11">
        <f>IF(B9="","",IF(F9="Diario",1,IF(F9="Semanal",7,IF(F9="Quincenal",15,IF(F9="Mensual",30,30))))+Resumen!$B$2)</f>
        <v/>
      </c>
      <c r="M9" s="11">
        <f>IF(B9="","",IF(G9&lt;=0,"Pagado",IF(K9&gt;L9,"Atrasado","Al dia")))</f>
        <v/>
      </c>
    </row>
    <row r="10">
      <c r="A10" s="11">
        <f>IF(B10="","","P"&amp;TEXT(ROW()-1,"000"))</f>
        <v/>
      </c>
      <c r="B10" s="12" t="n"/>
      <c r="C10" s="13" t="n"/>
      <c r="D10" s="14" t="n"/>
      <c r="E10" s="15" t="n"/>
      <c r="F10" s="12" t="n"/>
      <c r="G10" s="16">
        <f>IF(B10="","",D10-SUMIFS(Pagos!$H:$H,Pagos!$B:$B,A10))</f>
        <v/>
      </c>
      <c r="H10" s="16">
        <f>IF(B10="","",SUMIFS(Pagos!$E:$E,Pagos!$B:$B,A10))</f>
        <v/>
      </c>
      <c r="I10" s="16">
        <f>IF(B10="","",SUMIFS(Pagos!$G:$G,Pagos!$B:$B,A10))</f>
        <v/>
      </c>
      <c r="J10" s="17">
        <f>IF(B10="","",IF(COUNTIF(Pagos!$B:$B,A10)=0,"",_xlfn.MAXIFS(Pagos!$D:$D,Pagos!$B:$B,A10)))</f>
        <v/>
      </c>
      <c r="K10" s="11">
        <f>IF(B10="","",IF(J10="",TODAY()-C10,TODAY()-J10))</f>
        <v/>
      </c>
      <c r="L10" s="11">
        <f>IF(B10="","",IF(F10="Diario",1,IF(F10="Semanal",7,IF(F10="Quincenal",15,IF(F10="Mensual",30,30))))+Resumen!$B$2)</f>
        <v/>
      </c>
      <c r="M10" s="11">
        <f>IF(B10="","",IF(G10&lt;=0,"Pagado",IF(K10&gt;L10,"Atrasado","Al dia")))</f>
        <v/>
      </c>
    </row>
    <row r="11">
      <c r="A11" s="11">
        <f>IF(B11="","","P"&amp;TEXT(ROW()-1,"000"))</f>
        <v/>
      </c>
      <c r="B11" s="12" t="n"/>
      <c r="C11" s="13" t="n"/>
      <c r="D11" s="14" t="n"/>
      <c r="E11" s="15" t="n"/>
      <c r="F11" s="12" t="n"/>
      <c r="G11" s="16">
        <f>IF(B11="","",D11-SUMIFS(Pagos!$H:$H,Pagos!$B:$B,A11))</f>
        <v/>
      </c>
      <c r="H11" s="16">
        <f>IF(B11="","",SUMIFS(Pagos!$E:$E,Pagos!$B:$B,A11))</f>
        <v/>
      </c>
      <c r="I11" s="16">
        <f>IF(B11="","",SUMIFS(Pagos!$G:$G,Pagos!$B:$B,A11))</f>
        <v/>
      </c>
      <c r="J11" s="17">
        <f>IF(B11="","",IF(COUNTIF(Pagos!$B:$B,A11)=0,"",_xlfn.MAXIFS(Pagos!$D:$D,Pagos!$B:$B,A11)))</f>
        <v/>
      </c>
      <c r="K11" s="11">
        <f>IF(B11="","",IF(J11="",TODAY()-C11,TODAY()-J11))</f>
        <v/>
      </c>
      <c r="L11" s="11">
        <f>IF(B11="","",IF(F11="Diario",1,IF(F11="Semanal",7,IF(F11="Quincenal",15,IF(F11="Mensual",30,30))))+Resumen!$B$2)</f>
        <v/>
      </c>
      <c r="M11" s="11">
        <f>IF(B11="","",IF(G11&lt;=0,"Pagado",IF(K11&gt;L11,"Atrasado","Al dia")))</f>
        <v/>
      </c>
    </row>
    <row r="12">
      <c r="A12" s="11">
        <f>IF(B12="","","P"&amp;TEXT(ROW()-1,"000"))</f>
        <v/>
      </c>
      <c r="B12" s="12" t="n"/>
      <c r="C12" s="13" t="n"/>
      <c r="D12" s="14" t="n"/>
      <c r="E12" s="15" t="n"/>
      <c r="F12" s="12" t="n"/>
      <c r="G12" s="16">
        <f>IF(B12="","",D12-SUMIFS(Pagos!$H:$H,Pagos!$B:$B,A12))</f>
        <v/>
      </c>
      <c r="H12" s="16">
        <f>IF(B12="","",SUMIFS(Pagos!$E:$E,Pagos!$B:$B,A12))</f>
        <v/>
      </c>
      <c r="I12" s="16">
        <f>IF(B12="","",SUMIFS(Pagos!$G:$G,Pagos!$B:$B,A12))</f>
        <v/>
      </c>
      <c r="J12" s="17">
        <f>IF(B12="","",IF(COUNTIF(Pagos!$B:$B,A12)=0,"",_xlfn.MAXIFS(Pagos!$D:$D,Pagos!$B:$B,A12)))</f>
        <v/>
      </c>
      <c r="K12" s="11">
        <f>IF(B12="","",IF(J12="",TODAY()-C12,TODAY()-J12))</f>
        <v/>
      </c>
      <c r="L12" s="11">
        <f>IF(B12="","",IF(F12="Diario",1,IF(F12="Semanal",7,IF(F12="Quincenal",15,IF(F12="Mensual",30,30))))+Resumen!$B$2)</f>
        <v/>
      </c>
      <c r="M12" s="11">
        <f>IF(B12="","",IF(G12&lt;=0,"Pagado",IF(K12&gt;L12,"Atrasado","Al dia")))</f>
        <v/>
      </c>
    </row>
    <row r="13">
      <c r="A13" s="11">
        <f>IF(B13="","","P"&amp;TEXT(ROW()-1,"000"))</f>
        <v/>
      </c>
      <c r="B13" s="12" t="n"/>
      <c r="C13" s="13" t="n"/>
      <c r="D13" s="14" t="n"/>
      <c r="E13" s="15" t="n"/>
      <c r="F13" s="12" t="n"/>
      <c r="G13" s="16">
        <f>IF(B13="","",D13-SUMIFS(Pagos!$H:$H,Pagos!$B:$B,A13))</f>
        <v/>
      </c>
      <c r="H13" s="16">
        <f>IF(B13="","",SUMIFS(Pagos!$E:$E,Pagos!$B:$B,A13))</f>
        <v/>
      </c>
      <c r="I13" s="16">
        <f>IF(B13="","",SUMIFS(Pagos!$G:$G,Pagos!$B:$B,A13))</f>
        <v/>
      </c>
      <c r="J13" s="17">
        <f>IF(B13="","",IF(COUNTIF(Pagos!$B:$B,A13)=0,"",_xlfn.MAXIFS(Pagos!$D:$D,Pagos!$B:$B,A13)))</f>
        <v/>
      </c>
      <c r="K13" s="11">
        <f>IF(B13="","",IF(J13="",TODAY()-C13,TODAY()-J13))</f>
        <v/>
      </c>
      <c r="L13" s="11">
        <f>IF(B13="","",IF(F13="Diario",1,IF(F13="Semanal",7,IF(F13="Quincenal",15,IF(F13="Mensual",30,30))))+Resumen!$B$2)</f>
        <v/>
      </c>
      <c r="M13" s="11">
        <f>IF(B13="","",IF(G13&lt;=0,"Pagado",IF(K13&gt;L13,"Atrasado","Al dia")))</f>
        <v/>
      </c>
    </row>
    <row r="14">
      <c r="A14" s="11">
        <f>IF(B14="","","P"&amp;TEXT(ROW()-1,"000"))</f>
        <v/>
      </c>
      <c r="B14" s="12" t="n"/>
      <c r="C14" s="13" t="n"/>
      <c r="D14" s="14" t="n"/>
      <c r="E14" s="15" t="n"/>
      <c r="F14" s="12" t="n"/>
      <c r="G14" s="16">
        <f>IF(B14="","",D14-SUMIFS(Pagos!$H:$H,Pagos!$B:$B,A14))</f>
        <v/>
      </c>
      <c r="H14" s="16">
        <f>IF(B14="","",SUMIFS(Pagos!$E:$E,Pagos!$B:$B,A14))</f>
        <v/>
      </c>
      <c r="I14" s="16">
        <f>IF(B14="","",SUMIFS(Pagos!$G:$G,Pagos!$B:$B,A14))</f>
        <v/>
      </c>
      <c r="J14" s="17">
        <f>IF(B14="","",IF(COUNTIF(Pagos!$B:$B,A14)=0,"",_xlfn.MAXIFS(Pagos!$D:$D,Pagos!$B:$B,A14)))</f>
        <v/>
      </c>
      <c r="K14" s="11">
        <f>IF(B14="","",IF(J14="",TODAY()-C14,TODAY()-J14))</f>
        <v/>
      </c>
      <c r="L14" s="11">
        <f>IF(B14="","",IF(F14="Diario",1,IF(F14="Semanal",7,IF(F14="Quincenal",15,IF(F14="Mensual",30,30))))+Resumen!$B$2)</f>
        <v/>
      </c>
      <c r="M14" s="11">
        <f>IF(B14="","",IF(G14&lt;=0,"Pagado",IF(K14&gt;L14,"Atrasado","Al dia")))</f>
        <v/>
      </c>
    </row>
    <row r="15">
      <c r="A15" s="11">
        <f>IF(B15="","","P"&amp;TEXT(ROW()-1,"000"))</f>
        <v/>
      </c>
      <c r="B15" s="12" t="n"/>
      <c r="C15" s="13" t="n"/>
      <c r="D15" s="14" t="n"/>
      <c r="E15" s="15" t="n"/>
      <c r="F15" s="12" t="n"/>
      <c r="G15" s="16">
        <f>IF(B15="","",D15-SUMIFS(Pagos!$H:$H,Pagos!$B:$B,A15))</f>
        <v/>
      </c>
      <c r="H15" s="16">
        <f>IF(B15="","",SUMIFS(Pagos!$E:$E,Pagos!$B:$B,A15))</f>
        <v/>
      </c>
      <c r="I15" s="16">
        <f>IF(B15="","",SUMIFS(Pagos!$G:$G,Pagos!$B:$B,A15))</f>
        <v/>
      </c>
      <c r="J15" s="17">
        <f>IF(B15="","",IF(COUNTIF(Pagos!$B:$B,A15)=0,"",_xlfn.MAXIFS(Pagos!$D:$D,Pagos!$B:$B,A15)))</f>
        <v/>
      </c>
      <c r="K15" s="11">
        <f>IF(B15="","",IF(J15="",TODAY()-C15,TODAY()-J15))</f>
        <v/>
      </c>
      <c r="L15" s="11">
        <f>IF(B15="","",IF(F15="Diario",1,IF(F15="Semanal",7,IF(F15="Quincenal",15,IF(F15="Mensual",30,30))))+Resumen!$B$2)</f>
        <v/>
      </c>
      <c r="M15" s="11">
        <f>IF(B15="","",IF(G15&lt;=0,"Pagado",IF(K15&gt;L15,"Atrasado","Al dia")))</f>
        <v/>
      </c>
    </row>
    <row r="16">
      <c r="A16" s="11">
        <f>IF(B16="","","P"&amp;TEXT(ROW()-1,"000"))</f>
        <v/>
      </c>
      <c r="B16" s="12" t="n"/>
      <c r="C16" s="13" t="n"/>
      <c r="D16" s="14" t="n"/>
      <c r="E16" s="15" t="n"/>
      <c r="F16" s="12" t="n"/>
      <c r="G16" s="16">
        <f>IF(B16="","",D16-SUMIFS(Pagos!$H:$H,Pagos!$B:$B,A16))</f>
        <v/>
      </c>
      <c r="H16" s="16">
        <f>IF(B16="","",SUMIFS(Pagos!$E:$E,Pagos!$B:$B,A16))</f>
        <v/>
      </c>
      <c r="I16" s="16">
        <f>IF(B16="","",SUMIFS(Pagos!$G:$G,Pagos!$B:$B,A16))</f>
        <v/>
      </c>
      <c r="J16" s="17">
        <f>IF(B16="","",IF(COUNTIF(Pagos!$B:$B,A16)=0,"",_xlfn.MAXIFS(Pagos!$D:$D,Pagos!$B:$B,A16)))</f>
        <v/>
      </c>
      <c r="K16" s="11">
        <f>IF(B16="","",IF(J16="",TODAY()-C16,TODAY()-J16))</f>
        <v/>
      </c>
      <c r="L16" s="11">
        <f>IF(B16="","",IF(F16="Diario",1,IF(F16="Semanal",7,IF(F16="Quincenal",15,IF(F16="Mensual",30,30))))+Resumen!$B$2)</f>
        <v/>
      </c>
      <c r="M16" s="11">
        <f>IF(B16="","",IF(G16&lt;=0,"Pagado",IF(K16&gt;L16,"Atrasado","Al dia")))</f>
        <v/>
      </c>
    </row>
    <row r="17">
      <c r="A17" s="11">
        <f>IF(B17="","","P"&amp;TEXT(ROW()-1,"000"))</f>
        <v/>
      </c>
      <c r="B17" s="12" t="n"/>
      <c r="C17" s="13" t="n"/>
      <c r="D17" s="14" t="n"/>
      <c r="E17" s="15" t="n"/>
      <c r="F17" s="12" t="n"/>
      <c r="G17" s="16">
        <f>IF(B17="","",D17-SUMIFS(Pagos!$H:$H,Pagos!$B:$B,A17))</f>
        <v/>
      </c>
      <c r="H17" s="16">
        <f>IF(B17="","",SUMIFS(Pagos!$E:$E,Pagos!$B:$B,A17))</f>
        <v/>
      </c>
      <c r="I17" s="16">
        <f>IF(B17="","",SUMIFS(Pagos!$G:$G,Pagos!$B:$B,A17))</f>
        <v/>
      </c>
      <c r="J17" s="17">
        <f>IF(B17="","",IF(COUNTIF(Pagos!$B:$B,A17)=0,"",_xlfn.MAXIFS(Pagos!$D:$D,Pagos!$B:$B,A17)))</f>
        <v/>
      </c>
      <c r="K17" s="11">
        <f>IF(B17="","",IF(J17="",TODAY()-C17,TODAY()-J17))</f>
        <v/>
      </c>
      <c r="L17" s="11">
        <f>IF(B17="","",IF(F17="Diario",1,IF(F17="Semanal",7,IF(F17="Quincenal",15,IF(F17="Mensual",30,30))))+Resumen!$B$2)</f>
        <v/>
      </c>
      <c r="M17" s="11">
        <f>IF(B17="","",IF(G17&lt;=0,"Pagado",IF(K17&gt;L17,"Atrasado","Al dia")))</f>
        <v/>
      </c>
    </row>
    <row r="18">
      <c r="A18" s="11">
        <f>IF(B18="","","P"&amp;TEXT(ROW()-1,"000"))</f>
        <v/>
      </c>
      <c r="B18" s="12" t="n"/>
      <c r="C18" s="13" t="n"/>
      <c r="D18" s="14" t="n"/>
      <c r="E18" s="15" t="n"/>
      <c r="F18" s="12" t="n"/>
      <c r="G18" s="16">
        <f>IF(B18="","",D18-SUMIFS(Pagos!$H:$H,Pagos!$B:$B,A18))</f>
        <v/>
      </c>
      <c r="H18" s="16">
        <f>IF(B18="","",SUMIFS(Pagos!$E:$E,Pagos!$B:$B,A18))</f>
        <v/>
      </c>
      <c r="I18" s="16">
        <f>IF(B18="","",SUMIFS(Pagos!$G:$G,Pagos!$B:$B,A18))</f>
        <v/>
      </c>
      <c r="J18" s="17">
        <f>IF(B18="","",IF(COUNTIF(Pagos!$B:$B,A18)=0,"",_xlfn.MAXIFS(Pagos!$D:$D,Pagos!$B:$B,A18)))</f>
        <v/>
      </c>
      <c r="K18" s="11">
        <f>IF(B18="","",IF(J18="",TODAY()-C18,TODAY()-J18))</f>
        <v/>
      </c>
      <c r="L18" s="11">
        <f>IF(B18="","",IF(F18="Diario",1,IF(F18="Semanal",7,IF(F18="Quincenal",15,IF(F18="Mensual",30,30))))+Resumen!$B$2)</f>
        <v/>
      </c>
      <c r="M18" s="11">
        <f>IF(B18="","",IF(G18&lt;=0,"Pagado",IF(K18&gt;L18,"Atrasado","Al dia")))</f>
        <v/>
      </c>
    </row>
    <row r="19">
      <c r="A19" s="11">
        <f>IF(B19="","","P"&amp;TEXT(ROW()-1,"000"))</f>
        <v/>
      </c>
      <c r="B19" s="12" t="n"/>
      <c r="C19" s="13" t="n"/>
      <c r="D19" s="14" t="n"/>
      <c r="E19" s="15" t="n"/>
      <c r="F19" s="12" t="n"/>
      <c r="G19" s="16">
        <f>IF(B19="","",D19-SUMIFS(Pagos!$H:$H,Pagos!$B:$B,A19))</f>
        <v/>
      </c>
      <c r="H19" s="16">
        <f>IF(B19="","",SUMIFS(Pagos!$E:$E,Pagos!$B:$B,A19))</f>
        <v/>
      </c>
      <c r="I19" s="16">
        <f>IF(B19="","",SUMIFS(Pagos!$G:$G,Pagos!$B:$B,A19))</f>
        <v/>
      </c>
      <c r="J19" s="17">
        <f>IF(B19="","",IF(COUNTIF(Pagos!$B:$B,A19)=0,"",_xlfn.MAXIFS(Pagos!$D:$D,Pagos!$B:$B,A19)))</f>
        <v/>
      </c>
      <c r="K19" s="11">
        <f>IF(B19="","",IF(J19="",TODAY()-C19,TODAY()-J19))</f>
        <v/>
      </c>
      <c r="L19" s="11">
        <f>IF(B19="","",IF(F19="Diario",1,IF(F19="Semanal",7,IF(F19="Quincenal",15,IF(F19="Mensual",30,30))))+Resumen!$B$2)</f>
        <v/>
      </c>
      <c r="M19" s="11">
        <f>IF(B19="","",IF(G19&lt;=0,"Pagado",IF(K19&gt;L19,"Atrasado","Al dia")))</f>
        <v/>
      </c>
    </row>
    <row r="20">
      <c r="A20" s="11">
        <f>IF(B20="","","P"&amp;TEXT(ROW()-1,"000"))</f>
        <v/>
      </c>
      <c r="B20" s="12" t="n"/>
      <c r="C20" s="13" t="n"/>
      <c r="D20" s="14" t="n"/>
      <c r="E20" s="15" t="n"/>
      <c r="F20" s="12" t="n"/>
      <c r="G20" s="16">
        <f>IF(B20="","",D20-SUMIFS(Pagos!$H:$H,Pagos!$B:$B,A20))</f>
        <v/>
      </c>
      <c r="H20" s="16">
        <f>IF(B20="","",SUMIFS(Pagos!$E:$E,Pagos!$B:$B,A20))</f>
        <v/>
      </c>
      <c r="I20" s="16">
        <f>IF(B20="","",SUMIFS(Pagos!$G:$G,Pagos!$B:$B,A20))</f>
        <v/>
      </c>
      <c r="J20" s="17">
        <f>IF(B20="","",IF(COUNTIF(Pagos!$B:$B,A20)=0,"",_xlfn.MAXIFS(Pagos!$D:$D,Pagos!$B:$B,A20)))</f>
        <v/>
      </c>
      <c r="K20" s="11">
        <f>IF(B20="","",IF(J20="",TODAY()-C20,TODAY()-J20))</f>
        <v/>
      </c>
      <c r="L20" s="11">
        <f>IF(B20="","",IF(F20="Diario",1,IF(F20="Semanal",7,IF(F20="Quincenal",15,IF(F20="Mensual",30,30))))+Resumen!$B$2)</f>
        <v/>
      </c>
      <c r="M20" s="11">
        <f>IF(B20="","",IF(G20&lt;=0,"Pagado",IF(K20&gt;L20,"Atrasado","Al dia")))</f>
        <v/>
      </c>
    </row>
    <row r="21">
      <c r="A21" s="11">
        <f>IF(B21="","","P"&amp;TEXT(ROW()-1,"000"))</f>
        <v/>
      </c>
      <c r="B21" s="12" t="n"/>
      <c r="C21" s="13" t="n"/>
      <c r="D21" s="14" t="n"/>
      <c r="E21" s="15" t="n"/>
      <c r="F21" s="12" t="n"/>
      <c r="G21" s="16">
        <f>IF(B21="","",D21-SUMIFS(Pagos!$H:$H,Pagos!$B:$B,A21))</f>
        <v/>
      </c>
      <c r="H21" s="16">
        <f>IF(B21="","",SUMIFS(Pagos!$E:$E,Pagos!$B:$B,A21))</f>
        <v/>
      </c>
      <c r="I21" s="16">
        <f>IF(B21="","",SUMIFS(Pagos!$G:$G,Pagos!$B:$B,A21))</f>
        <v/>
      </c>
      <c r="J21" s="17">
        <f>IF(B21="","",IF(COUNTIF(Pagos!$B:$B,A21)=0,"",_xlfn.MAXIFS(Pagos!$D:$D,Pagos!$B:$B,A21)))</f>
        <v/>
      </c>
      <c r="K21" s="11">
        <f>IF(B21="","",IF(J21="",TODAY()-C21,TODAY()-J21))</f>
        <v/>
      </c>
      <c r="L21" s="11">
        <f>IF(B21="","",IF(F21="Diario",1,IF(F21="Semanal",7,IF(F21="Quincenal",15,IF(F21="Mensual",30,30))))+Resumen!$B$2)</f>
        <v/>
      </c>
      <c r="M21" s="11">
        <f>IF(B21="","",IF(G21&lt;=0,"Pagado",IF(K21&gt;L21,"Atrasado","Al dia")))</f>
        <v/>
      </c>
    </row>
    <row r="22">
      <c r="A22" s="11">
        <f>IF(B22="","","P"&amp;TEXT(ROW()-1,"000"))</f>
        <v/>
      </c>
      <c r="B22" s="12" t="n"/>
      <c r="C22" s="13" t="n"/>
      <c r="D22" s="14" t="n"/>
      <c r="E22" s="15" t="n"/>
      <c r="F22" s="12" t="n"/>
      <c r="G22" s="16">
        <f>IF(B22="","",D22-SUMIFS(Pagos!$H:$H,Pagos!$B:$B,A22))</f>
        <v/>
      </c>
      <c r="H22" s="16">
        <f>IF(B22="","",SUMIFS(Pagos!$E:$E,Pagos!$B:$B,A22))</f>
        <v/>
      </c>
      <c r="I22" s="16">
        <f>IF(B22="","",SUMIFS(Pagos!$G:$G,Pagos!$B:$B,A22))</f>
        <v/>
      </c>
      <c r="J22" s="17">
        <f>IF(B22="","",IF(COUNTIF(Pagos!$B:$B,A22)=0,"",_xlfn.MAXIFS(Pagos!$D:$D,Pagos!$B:$B,A22)))</f>
        <v/>
      </c>
      <c r="K22" s="11">
        <f>IF(B22="","",IF(J22="",TODAY()-C22,TODAY()-J22))</f>
        <v/>
      </c>
      <c r="L22" s="11">
        <f>IF(B22="","",IF(F22="Diario",1,IF(F22="Semanal",7,IF(F22="Quincenal",15,IF(F22="Mensual",30,30))))+Resumen!$B$2)</f>
        <v/>
      </c>
      <c r="M22" s="11">
        <f>IF(B22="","",IF(G22&lt;=0,"Pagado",IF(K22&gt;L22,"Atrasado","Al dia")))</f>
        <v/>
      </c>
    </row>
    <row r="23">
      <c r="A23" s="11">
        <f>IF(B23="","","P"&amp;TEXT(ROW()-1,"000"))</f>
        <v/>
      </c>
      <c r="B23" s="12" t="n"/>
      <c r="C23" s="13" t="n"/>
      <c r="D23" s="14" t="n"/>
      <c r="E23" s="15" t="n"/>
      <c r="F23" s="12" t="n"/>
      <c r="G23" s="16">
        <f>IF(B23="","",D23-SUMIFS(Pagos!$H:$H,Pagos!$B:$B,A23))</f>
        <v/>
      </c>
      <c r="H23" s="16">
        <f>IF(B23="","",SUMIFS(Pagos!$E:$E,Pagos!$B:$B,A23))</f>
        <v/>
      </c>
      <c r="I23" s="16">
        <f>IF(B23="","",SUMIFS(Pagos!$G:$G,Pagos!$B:$B,A23))</f>
        <v/>
      </c>
      <c r="J23" s="17">
        <f>IF(B23="","",IF(COUNTIF(Pagos!$B:$B,A23)=0,"",_xlfn.MAXIFS(Pagos!$D:$D,Pagos!$B:$B,A23)))</f>
        <v/>
      </c>
      <c r="K23" s="11">
        <f>IF(B23="","",IF(J23="",TODAY()-C23,TODAY()-J23))</f>
        <v/>
      </c>
      <c r="L23" s="11">
        <f>IF(B23="","",IF(F23="Diario",1,IF(F23="Semanal",7,IF(F23="Quincenal",15,IF(F23="Mensual",30,30))))+Resumen!$B$2)</f>
        <v/>
      </c>
      <c r="M23" s="11">
        <f>IF(B23="","",IF(G23&lt;=0,"Pagado",IF(K23&gt;L23,"Atrasado","Al dia")))</f>
        <v/>
      </c>
    </row>
    <row r="24">
      <c r="A24" s="11">
        <f>IF(B24="","","P"&amp;TEXT(ROW()-1,"000"))</f>
        <v/>
      </c>
      <c r="B24" s="12" t="n"/>
      <c r="C24" s="13" t="n"/>
      <c r="D24" s="14" t="n"/>
      <c r="E24" s="15" t="n"/>
      <c r="F24" s="12" t="n"/>
      <c r="G24" s="16">
        <f>IF(B24="","",D24-SUMIFS(Pagos!$H:$H,Pagos!$B:$B,A24))</f>
        <v/>
      </c>
      <c r="H24" s="16">
        <f>IF(B24="","",SUMIFS(Pagos!$E:$E,Pagos!$B:$B,A24))</f>
        <v/>
      </c>
      <c r="I24" s="16">
        <f>IF(B24="","",SUMIFS(Pagos!$G:$G,Pagos!$B:$B,A24))</f>
        <v/>
      </c>
      <c r="J24" s="17">
        <f>IF(B24="","",IF(COUNTIF(Pagos!$B:$B,A24)=0,"",_xlfn.MAXIFS(Pagos!$D:$D,Pagos!$B:$B,A24)))</f>
        <v/>
      </c>
      <c r="K24" s="11">
        <f>IF(B24="","",IF(J24="",TODAY()-C24,TODAY()-J24))</f>
        <v/>
      </c>
      <c r="L24" s="11">
        <f>IF(B24="","",IF(F24="Diario",1,IF(F24="Semanal",7,IF(F24="Quincenal",15,IF(F24="Mensual",30,30))))+Resumen!$B$2)</f>
        <v/>
      </c>
      <c r="M24" s="11">
        <f>IF(B24="","",IF(G24&lt;=0,"Pagado",IF(K24&gt;L24,"Atrasado","Al dia")))</f>
        <v/>
      </c>
    </row>
    <row r="25">
      <c r="A25" s="11">
        <f>IF(B25="","","P"&amp;TEXT(ROW()-1,"000"))</f>
        <v/>
      </c>
      <c r="B25" s="12" t="n"/>
      <c r="C25" s="13" t="n"/>
      <c r="D25" s="14" t="n"/>
      <c r="E25" s="15" t="n"/>
      <c r="F25" s="12" t="n"/>
      <c r="G25" s="16">
        <f>IF(B25="","",D25-SUMIFS(Pagos!$H:$H,Pagos!$B:$B,A25))</f>
        <v/>
      </c>
      <c r="H25" s="16">
        <f>IF(B25="","",SUMIFS(Pagos!$E:$E,Pagos!$B:$B,A25))</f>
        <v/>
      </c>
      <c r="I25" s="16">
        <f>IF(B25="","",SUMIFS(Pagos!$G:$G,Pagos!$B:$B,A25))</f>
        <v/>
      </c>
      <c r="J25" s="17">
        <f>IF(B25="","",IF(COUNTIF(Pagos!$B:$B,A25)=0,"",_xlfn.MAXIFS(Pagos!$D:$D,Pagos!$B:$B,A25)))</f>
        <v/>
      </c>
      <c r="K25" s="11">
        <f>IF(B25="","",IF(J25="",TODAY()-C25,TODAY()-J25))</f>
        <v/>
      </c>
      <c r="L25" s="11">
        <f>IF(B25="","",IF(F25="Diario",1,IF(F25="Semanal",7,IF(F25="Quincenal",15,IF(F25="Mensual",30,30))))+Resumen!$B$2)</f>
        <v/>
      </c>
      <c r="M25" s="11">
        <f>IF(B25="","",IF(G25&lt;=0,"Pagado",IF(K25&gt;L25,"Atrasado","Al dia")))</f>
        <v/>
      </c>
    </row>
    <row r="26">
      <c r="A26" s="11">
        <f>IF(B26="","","P"&amp;TEXT(ROW()-1,"000"))</f>
        <v/>
      </c>
      <c r="B26" s="12" t="n"/>
      <c r="C26" s="13" t="n"/>
      <c r="D26" s="14" t="n"/>
      <c r="E26" s="15" t="n"/>
      <c r="F26" s="12" t="n"/>
      <c r="G26" s="16">
        <f>IF(B26="","",D26-SUMIFS(Pagos!$H:$H,Pagos!$B:$B,A26))</f>
        <v/>
      </c>
      <c r="H26" s="16">
        <f>IF(B26="","",SUMIFS(Pagos!$E:$E,Pagos!$B:$B,A26))</f>
        <v/>
      </c>
      <c r="I26" s="16">
        <f>IF(B26="","",SUMIFS(Pagos!$G:$G,Pagos!$B:$B,A26))</f>
        <v/>
      </c>
      <c r="J26" s="17">
        <f>IF(B26="","",IF(COUNTIF(Pagos!$B:$B,A26)=0,"",_xlfn.MAXIFS(Pagos!$D:$D,Pagos!$B:$B,A26)))</f>
        <v/>
      </c>
      <c r="K26" s="11">
        <f>IF(B26="","",IF(J26="",TODAY()-C26,TODAY()-J26))</f>
        <v/>
      </c>
      <c r="L26" s="11">
        <f>IF(B26="","",IF(F26="Diario",1,IF(F26="Semanal",7,IF(F26="Quincenal",15,IF(F26="Mensual",30,30))))+Resumen!$B$2)</f>
        <v/>
      </c>
      <c r="M26" s="11">
        <f>IF(B26="","",IF(G26&lt;=0,"Pagado",IF(K26&gt;L26,"Atrasado","Al dia")))</f>
        <v/>
      </c>
    </row>
    <row r="27">
      <c r="A27" s="11">
        <f>IF(B27="","","P"&amp;TEXT(ROW()-1,"000"))</f>
        <v/>
      </c>
      <c r="B27" s="12" t="n"/>
      <c r="C27" s="13" t="n"/>
      <c r="D27" s="14" t="n"/>
      <c r="E27" s="15" t="n"/>
      <c r="F27" s="12" t="n"/>
      <c r="G27" s="16">
        <f>IF(B27="","",D27-SUMIFS(Pagos!$H:$H,Pagos!$B:$B,A27))</f>
        <v/>
      </c>
      <c r="H27" s="16">
        <f>IF(B27="","",SUMIFS(Pagos!$E:$E,Pagos!$B:$B,A27))</f>
        <v/>
      </c>
      <c r="I27" s="16">
        <f>IF(B27="","",SUMIFS(Pagos!$G:$G,Pagos!$B:$B,A27))</f>
        <v/>
      </c>
      <c r="J27" s="17">
        <f>IF(B27="","",IF(COUNTIF(Pagos!$B:$B,A27)=0,"",_xlfn.MAXIFS(Pagos!$D:$D,Pagos!$B:$B,A27)))</f>
        <v/>
      </c>
      <c r="K27" s="11">
        <f>IF(B27="","",IF(J27="",TODAY()-C27,TODAY()-J27))</f>
        <v/>
      </c>
      <c r="L27" s="11">
        <f>IF(B27="","",IF(F27="Diario",1,IF(F27="Semanal",7,IF(F27="Quincenal",15,IF(F27="Mensual",30,30))))+Resumen!$B$2)</f>
        <v/>
      </c>
      <c r="M27" s="11">
        <f>IF(B27="","",IF(G27&lt;=0,"Pagado",IF(K27&gt;L27,"Atrasado","Al dia")))</f>
        <v/>
      </c>
    </row>
    <row r="28">
      <c r="A28" s="11">
        <f>IF(B28="","","P"&amp;TEXT(ROW()-1,"000"))</f>
        <v/>
      </c>
      <c r="B28" s="12" t="n"/>
      <c r="C28" s="13" t="n"/>
      <c r="D28" s="14" t="n"/>
      <c r="E28" s="15" t="n"/>
      <c r="F28" s="12" t="n"/>
      <c r="G28" s="16">
        <f>IF(B28="","",D28-SUMIFS(Pagos!$H:$H,Pagos!$B:$B,A28))</f>
        <v/>
      </c>
      <c r="H28" s="16">
        <f>IF(B28="","",SUMIFS(Pagos!$E:$E,Pagos!$B:$B,A28))</f>
        <v/>
      </c>
      <c r="I28" s="16">
        <f>IF(B28="","",SUMIFS(Pagos!$G:$G,Pagos!$B:$B,A28))</f>
        <v/>
      </c>
      <c r="J28" s="17">
        <f>IF(B28="","",IF(COUNTIF(Pagos!$B:$B,A28)=0,"",_xlfn.MAXIFS(Pagos!$D:$D,Pagos!$B:$B,A28)))</f>
        <v/>
      </c>
      <c r="K28" s="11">
        <f>IF(B28="","",IF(J28="",TODAY()-C28,TODAY()-J28))</f>
        <v/>
      </c>
      <c r="L28" s="11">
        <f>IF(B28="","",IF(F28="Diario",1,IF(F28="Semanal",7,IF(F28="Quincenal",15,IF(F28="Mensual",30,30))))+Resumen!$B$2)</f>
        <v/>
      </c>
      <c r="M28" s="11">
        <f>IF(B28="","",IF(G28&lt;=0,"Pagado",IF(K28&gt;L28,"Atrasado","Al dia")))</f>
        <v/>
      </c>
    </row>
    <row r="29">
      <c r="A29" s="11">
        <f>IF(B29="","","P"&amp;TEXT(ROW()-1,"000"))</f>
        <v/>
      </c>
      <c r="B29" s="12" t="n"/>
      <c r="C29" s="13" t="n"/>
      <c r="D29" s="14" t="n"/>
      <c r="E29" s="15" t="n"/>
      <c r="F29" s="12" t="n"/>
      <c r="G29" s="16">
        <f>IF(B29="","",D29-SUMIFS(Pagos!$H:$H,Pagos!$B:$B,A29))</f>
        <v/>
      </c>
      <c r="H29" s="16">
        <f>IF(B29="","",SUMIFS(Pagos!$E:$E,Pagos!$B:$B,A29))</f>
        <v/>
      </c>
      <c r="I29" s="16">
        <f>IF(B29="","",SUMIFS(Pagos!$G:$G,Pagos!$B:$B,A29))</f>
        <v/>
      </c>
      <c r="J29" s="17">
        <f>IF(B29="","",IF(COUNTIF(Pagos!$B:$B,A29)=0,"",_xlfn.MAXIFS(Pagos!$D:$D,Pagos!$B:$B,A29)))</f>
        <v/>
      </c>
      <c r="K29" s="11">
        <f>IF(B29="","",IF(J29="",TODAY()-C29,TODAY()-J29))</f>
        <v/>
      </c>
      <c r="L29" s="11">
        <f>IF(B29="","",IF(F29="Diario",1,IF(F29="Semanal",7,IF(F29="Quincenal",15,IF(F29="Mensual",30,30))))+Resumen!$B$2)</f>
        <v/>
      </c>
      <c r="M29" s="11">
        <f>IF(B29="","",IF(G29&lt;=0,"Pagado",IF(K29&gt;L29,"Atrasado","Al dia")))</f>
        <v/>
      </c>
    </row>
    <row r="30">
      <c r="A30" s="11">
        <f>IF(B30="","","P"&amp;TEXT(ROW()-1,"000"))</f>
        <v/>
      </c>
      <c r="B30" s="12" t="n"/>
      <c r="C30" s="13" t="n"/>
      <c r="D30" s="14" t="n"/>
      <c r="E30" s="15" t="n"/>
      <c r="F30" s="12" t="n"/>
      <c r="G30" s="16">
        <f>IF(B30="","",D30-SUMIFS(Pagos!$H:$H,Pagos!$B:$B,A30))</f>
        <v/>
      </c>
      <c r="H30" s="16">
        <f>IF(B30="","",SUMIFS(Pagos!$E:$E,Pagos!$B:$B,A30))</f>
        <v/>
      </c>
      <c r="I30" s="16">
        <f>IF(B30="","",SUMIFS(Pagos!$G:$G,Pagos!$B:$B,A30))</f>
        <v/>
      </c>
      <c r="J30" s="17">
        <f>IF(B30="","",IF(COUNTIF(Pagos!$B:$B,A30)=0,"",_xlfn.MAXIFS(Pagos!$D:$D,Pagos!$B:$B,A30)))</f>
        <v/>
      </c>
      <c r="K30" s="11">
        <f>IF(B30="","",IF(J30="",TODAY()-C30,TODAY()-J30))</f>
        <v/>
      </c>
      <c r="L30" s="11">
        <f>IF(B30="","",IF(F30="Diario",1,IF(F30="Semanal",7,IF(F30="Quincenal",15,IF(F30="Mensual",30,30))))+Resumen!$B$2)</f>
        <v/>
      </c>
      <c r="M30" s="11">
        <f>IF(B30="","",IF(G30&lt;=0,"Pagado",IF(K30&gt;L30,"Atrasado","Al dia")))</f>
        <v/>
      </c>
    </row>
    <row r="31">
      <c r="A31" s="11">
        <f>IF(B31="","","P"&amp;TEXT(ROW()-1,"000"))</f>
        <v/>
      </c>
      <c r="B31" s="12" t="n"/>
      <c r="C31" s="13" t="n"/>
      <c r="D31" s="14" t="n"/>
      <c r="E31" s="15" t="n"/>
      <c r="F31" s="12" t="n"/>
      <c r="G31" s="16">
        <f>IF(B31="","",D31-SUMIFS(Pagos!$H:$H,Pagos!$B:$B,A31))</f>
        <v/>
      </c>
      <c r="H31" s="16">
        <f>IF(B31="","",SUMIFS(Pagos!$E:$E,Pagos!$B:$B,A31))</f>
        <v/>
      </c>
      <c r="I31" s="16">
        <f>IF(B31="","",SUMIFS(Pagos!$G:$G,Pagos!$B:$B,A31))</f>
        <v/>
      </c>
      <c r="J31" s="17">
        <f>IF(B31="","",IF(COUNTIF(Pagos!$B:$B,A31)=0,"",_xlfn.MAXIFS(Pagos!$D:$D,Pagos!$B:$B,A31)))</f>
        <v/>
      </c>
      <c r="K31" s="11">
        <f>IF(B31="","",IF(J31="",TODAY()-C31,TODAY()-J31))</f>
        <v/>
      </c>
      <c r="L31" s="11">
        <f>IF(B31="","",IF(F31="Diario",1,IF(F31="Semanal",7,IF(F31="Quincenal",15,IF(F31="Mensual",30,30))))+Resumen!$B$2)</f>
        <v/>
      </c>
      <c r="M31" s="11">
        <f>IF(B31="","",IF(G31&lt;=0,"Pagado",IF(K31&gt;L31,"Atrasado","Al dia")))</f>
        <v/>
      </c>
    </row>
    <row r="32">
      <c r="A32" s="11">
        <f>IF(B32="","","P"&amp;TEXT(ROW()-1,"000"))</f>
        <v/>
      </c>
      <c r="B32" s="12" t="n"/>
      <c r="C32" s="13" t="n"/>
      <c r="D32" s="14" t="n"/>
      <c r="E32" s="15" t="n"/>
      <c r="F32" s="12" t="n"/>
      <c r="G32" s="16">
        <f>IF(B32="","",D32-SUMIFS(Pagos!$H:$H,Pagos!$B:$B,A32))</f>
        <v/>
      </c>
      <c r="H32" s="16">
        <f>IF(B32="","",SUMIFS(Pagos!$E:$E,Pagos!$B:$B,A32))</f>
        <v/>
      </c>
      <c r="I32" s="16">
        <f>IF(B32="","",SUMIFS(Pagos!$G:$G,Pagos!$B:$B,A32))</f>
        <v/>
      </c>
      <c r="J32" s="17">
        <f>IF(B32="","",IF(COUNTIF(Pagos!$B:$B,A32)=0,"",_xlfn.MAXIFS(Pagos!$D:$D,Pagos!$B:$B,A32)))</f>
        <v/>
      </c>
      <c r="K32" s="11">
        <f>IF(B32="","",IF(J32="",TODAY()-C32,TODAY()-J32))</f>
        <v/>
      </c>
      <c r="L32" s="11">
        <f>IF(B32="","",IF(F32="Diario",1,IF(F32="Semanal",7,IF(F32="Quincenal",15,IF(F32="Mensual",30,30))))+Resumen!$B$2)</f>
        <v/>
      </c>
      <c r="M32" s="11">
        <f>IF(B32="","",IF(G32&lt;=0,"Pagado",IF(K32&gt;L32,"Atrasado","Al dia")))</f>
        <v/>
      </c>
    </row>
    <row r="33">
      <c r="A33" s="11">
        <f>IF(B33="","","P"&amp;TEXT(ROW()-1,"000"))</f>
        <v/>
      </c>
      <c r="B33" s="12" t="n"/>
      <c r="C33" s="13" t="n"/>
      <c r="D33" s="14" t="n"/>
      <c r="E33" s="15" t="n"/>
      <c r="F33" s="12" t="n"/>
      <c r="G33" s="16">
        <f>IF(B33="","",D33-SUMIFS(Pagos!$H:$H,Pagos!$B:$B,A33))</f>
        <v/>
      </c>
      <c r="H33" s="16">
        <f>IF(B33="","",SUMIFS(Pagos!$E:$E,Pagos!$B:$B,A33))</f>
        <v/>
      </c>
      <c r="I33" s="16">
        <f>IF(B33="","",SUMIFS(Pagos!$G:$G,Pagos!$B:$B,A33))</f>
        <v/>
      </c>
      <c r="J33" s="17">
        <f>IF(B33="","",IF(COUNTIF(Pagos!$B:$B,A33)=0,"",_xlfn.MAXIFS(Pagos!$D:$D,Pagos!$B:$B,A33)))</f>
        <v/>
      </c>
      <c r="K33" s="11">
        <f>IF(B33="","",IF(J33="",TODAY()-C33,TODAY()-J33))</f>
        <v/>
      </c>
      <c r="L33" s="11">
        <f>IF(B33="","",IF(F33="Diario",1,IF(F33="Semanal",7,IF(F33="Quincenal",15,IF(F33="Mensual",30,30))))+Resumen!$B$2)</f>
        <v/>
      </c>
      <c r="M33" s="11">
        <f>IF(B33="","",IF(G33&lt;=0,"Pagado",IF(K33&gt;L33,"Atrasado","Al dia")))</f>
        <v/>
      </c>
    </row>
    <row r="34">
      <c r="A34" s="11">
        <f>IF(B34="","","P"&amp;TEXT(ROW()-1,"000"))</f>
        <v/>
      </c>
      <c r="B34" s="12" t="n"/>
      <c r="C34" s="13" t="n"/>
      <c r="D34" s="14" t="n"/>
      <c r="E34" s="15" t="n"/>
      <c r="F34" s="12" t="n"/>
      <c r="G34" s="16">
        <f>IF(B34="","",D34-SUMIFS(Pagos!$H:$H,Pagos!$B:$B,A34))</f>
        <v/>
      </c>
      <c r="H34" s="16">
        <f>IF(B34="","",SUMIFS(Pagos!$E:$E,Pagos!$B:$B,A34))</f>
        <v/>
      </c>
      <c r="I34" s="16">
        <f>IF(B34="","",SUMIFS(Pagos!$G:$G,Pagos!$B:$B,A34))</f>
        <v/>
      </c>
      <c r="J34" s="17">
        <f>IF(B34="","",IF(COUNTIF(Pagos!$B:$B,A34)=0,"",_xlfn.MAXIFS(Pagos!$D:$D,Pagos!$B:$B,A34)))</f>
        <v/>
      </c>
      <c r="K34" s="11">
        <f>IF(B34="","",IF(J34="",TODAY()-C34,TODAY()-J34))</f>
        <v/>
      </c>
      <c r="L34" s="11">
        <f>IF(B34="","",IF(F34="Diario",1,IF(F34="Semanal",7,IF(F34="Quincenal",15,IF(F34="Mensual",30,30))))+Resumen!$B$2)</f>
        <v/>
      </c>
      <c r="M34" s="11">
        <f>IF(B34="","",IF(G34&lt;=0,"Pagado",IF(K34&gt;L34,"Atrasado","Al dia")))</f>
        <v/>
      </c>
    </row>
    <row r="35">
      <c r="A35" s="11">
        <f>IF(B35="","","P"&amp;TEXT(ROW()-1,"000"))</f>
        <v/>
      </c>
      <c r="B35" s="12" t="n"/>
      <c r="C35" s="13" t="n"/>
      <c r="D35" s="14" t="n"/>
      <c r="E35" s="15" t="n"/>
      <c r="F35" s="12" t="n"/>
      <c r="G35" s="16">
        <f>IF(B35="","",D35-SUMIFS(Pagos!$H:$H,Pagos!$B:$B,A35))</f>
        <v/>
      </c>
      <c r="H35" s="16">
        <f>IF(B35="","",SUMIFS(Pagos!$E:$E,Pagos!$B:$B,A35))</f>
        <v/>
      </c>
      <c r="I35" s="16">
        <f>IF(B35="","",SUMIFS(Pagos!$G:$G,Pagos!$B:$B,A35))</f>
        <v/>
      </c>
      <c r="J35" s="17">
        <f>IF(B35="","",IF(COUNTIF(Pagos!$B:$B,A35)=0,"",_xlfn.MAXIFS(Pagos!$D:$D,Pagos!$B:$B,A35)))</f>
        <v/>
      </c>
      <c r="K35" s="11">
        <f>IF(B35="","",IF(J35="",TODAY()-C35,TODAY()-J35))</f>
        <v/>
      </c>
      <c r="L35" s="11">
        <f>IF(B35="","",IF(F35="Diario",1,IF(F35="Semanal",7,IF(F35="Quincenal",15,IF(F35="Mensual",30,30))))+Resumen!$B$2)</f>
        <v/>
      </c>
      <c r="M35" s="11">
        <f>IF(B35="","",IF(G35&lt;=0,"Pagado",IF(K35&gt;L35,"Atrasado","Al dia")))</f>
        <v/>
      </c>
    </row>
    <row r="36">
      <c r="A36" s="11">
        <f>IF(B36="","","P"&amp;TEXT(ROW()-1,"000"))</f>
        <v/>
      </c>
      <c r="B36" s="12" t="n"/>
      <c r="C36" s="13" t="n"/>
      <c r="D36" s="14" t="n"/>
      <c r="E36" s="15" t="n"/>
      <c r="F36" s="12" t="n"/>
      <c r="G36" s="16">
        <f>IF(B36="","",D36-SUMIFS(Pagos!$H:$H,Pagos!$B:$B,A36))</f>
        <v/>
      </c>
      <c r="H36" s="16">
        <f>IF(B36="","",SUMIFS(Pagos!$E:$E,Pagos!$B:$B,A36))</f>
        <v/>
      </c>
      <c r="I36" s="16">
        <f>IF(B36="","",SUMIFS(Pagos!$G:$G,Pagos!$B:$B,A36))</f>
        <v/>
      </c>
      <c r="J36" s="17">
        <f>IF(B36="","",IF(COUNTIF(Pagos!$B:$B,A36)=0,"",_xlfn.MAXIFS(Pagos!$D:$D,Pagos!$B:$B,A36)))</f>
        <v/>
      </c>
      <c r="K36" s="11">
        <f>IF(B36="","",IF(J36="",TODAY()-C36,TODAY()-J36))</f>
        <v/>
      </c>
      <c r="L36" s="11">
        <f>IF(B36="","",IF(F36="Diario",1,IF(F36="Semanal",7,IF(F36="Quincenal",15,IF(F36="Mensual",30,30))))+Resumen!$B$2)</f>
        <v/>
      </c>
      <c r="M36" s="11">
        <f>IF(B36="","",IF(G36&lt;=0,"Pagado",IF(K36&gt;L36,"Atrasado","Al dia")))</f>
        <v/>
      </c>
    </row>
    <row r="37">
      <c r="A37" s="11">
        <f>IF(B37="","","P"&amp;TEXT(ROW()-1,"000"))</f>
        <v/>
      </c>
      <c r="B37" s="12" t="n"/>
      <c r="C37" s="13" t="n"/>
      <c r="D37" s="14" t="n"/>
      <c r="E37" s="15" t="n"/>
      <c r="F37" s="12" t="n"/>
      <c r="G37" s="16">
        <f>IF(B37="","",D37-SUMIFS(Pagos!$H:$H,Pagos!$B:$B,A37))</f>
        <v/>
      </c>
      <c r="H37" s="16">
        <f>IF(B37="","",SUMIFS(Pagos!$E:$E,Pagos!$B:$B,A37))</f>
        <v/>
      </c>
      <c r="I37" s="16">
        <f>IF(B37="","",SUMIFS(Pagos!$G:$G,Pagos!$B:$B,A37))</f>
        <v/>
      </c>
      <c r="J37" s="17">
        <f>IF(B37="","",IF(COUNTIF(Pagos!$B:$B,A37)=0,"",_xlfn.MAXIFS(Pagos!$D:$D,Pagos!$B:$B,A37)))</f>
        <v/>
      </c>
      <c r="K37" s="11">
        <f>IF(B37="","",IF(J37="",TODAY()-C37,TODAY()-J37))</f>
        <v/>
      </c>
      <c r="L37" s="11">
        <f>IF(B37="","",IF(F37="Diario",1,IF(F37="Semanal",7,IF(F37="Quincenal",15,IF(F37="Mensual",30,30))))+Resumen!$B$2)</f>
        <v/>
      </c>
      <c r="M37" s="11">
        <f>IF(B37="","",IF(G37&lt;=0,"Pagado",IF(K37&gt;L37,"Atrasado","Al dia")))</f>
        <v/>
      </c>
    </row>
    <row r="38">
      <c r="A38" s="11">
        <f>IF(B38="","","P"&amp;TEXT(ROW()-1,"000"))</f>
        <v/>
      </c>
      <c r="B38" s="12" t="n"/>
      <c r="C38" s="13" t="n"/>
      <c r="D38" s="14" t="n"/>
      <c r="E38" s="15" t="n"/>
      <c r="F38" s="12" t="n"/>
      <c r="G38" s="16">
        <f>IF(B38="","",D38-SUMIFS(Pagos!$H:$H,Pagos!$B:$B,A38))</f>
        <v/>
      </c>
      <c r="H38" s="16">
        <f>IF(B38="","",SUMIFS(Pagos!$E:$E,Pagos!$B:$B,A38))</f>
        <v/>
      </c>
      <c r="I38" s="16">
        <f>IF(B38="","",SUMIFS(Pagos!$G:$G,Pagos!$B:$B,A38))</f>
        <v/>
      </c>
      <c r="J38" s="17">
        <f>IF(B38="","",IF(COUNTIF(Pagos!$B:$B,A38)=0,"",_xlfn.MAXIFS(Pagos!$D:$D,Pagos!$B:$B,A38)))</f>
        <v/>
      </c>
      <c r="K38" s="11">
        <f>IF(B38="","",IF(J38="",TODAY()-C38,TODAY()-J38))</f>
        <v/>
      </c>
      <c r="L38" s="11">
        <f>IF(B38="","",IF(F38="Diario",1,IF(F38="Semanal",7,IF(F38="Quincenal",15,IF(F38="Mensual",30,30))))+Resumen!$B$2)</f>
        <v/>
      </c>
      <c r="M38" s="11">
        <f>IF(B38="","",IF(G38&lt;=0,"Pagado",IF(K38&gt;L38,"Atrasado","Al dia")))</f>
        <v/>
      </c>
    </row>
    <row r="39">
      <c r="A39" s="11">
        <f>IF(B39="","","P"&amp;TEXT(ROW()-1,"000"))</f>
        <v/>
      </c>
      <c r="B39" s="12" t="n"/>
      <c r="C39" s="13" t="n"/>
      <c r="D39" s="14" t="n"/>
      <c r="E39" s="15" t="n"/>
      <c r="F39" s="12" t="n"/>
      <c r="G39" s="16">
        <f>IF(B39="","",D39-SUMIFS(Pagos!$H:$H,Pagos!$B:$B,A39))</f>
        <v/>
      </c>
      <c r="H39" s="16">
        <f>IF(B39="","",SUMIFS(Pagos!$E:$E,Pagos!$B:$B,A39))</f>
        <v/>
      </c>
      <c r="I39" s="16">
        <f>IF(B39="","",SUMIFS(Pagos!$G:$G,Pagos!$B:$B,A39))</f>
        <v/>
      </c>
      <c r="J39" s="17">
        <f>IF(B39="","",IF(COUNTIF(Pagos!$B:$B,A39)=0,"",_xlfn.MAXIFS(Pagos!$D:$D,Pagos!$B:$B,A39)))</f>
        <v/>
      </c>
      <c r="K39" s="11">
        <f>IF(B39="","",IF(J39="",TODAY()-C39,TODAY()-J39))</f>
        <v/>
      </c>
      <c r="L39" s="11">
        <f>IF(B39="","",IF(F39="Diario",1,IF(F39="Semanal",7,IF(F39="Quincenal",15,IF(F39="Mensual",30,30))))+Resumen!$B$2)</f>
        <v/>
      </c>
      <c r="M39" s="11">
        <f>IF(B39="","",IF(G39&lt;=0,"Pagado",IF(K39&gt;L39,"Atrasado","Al dia")))</f>
        <v/>
      </c>
    </row>
    <row r="40">
      <c r="A40" s="11">
        <f>IF(B40="","","P"&amp;TEXT(ROW()-1,"000"))</f>
        <v/>
      </c>
      <c r="B40" s="12" t="n"/>
      <c r="C40" s="13" t="n"/>
      <c r="D40" s="14" t="n"/>
      <c r="E40" s="15" t="n"/>
      <c r="F40" s="12" t="n"/>
      <c r="G40" s="16">
        <f>IF(B40="","",D40-SUMIFS(Pagos!$H:$H,Pagos!$B:$B,A40))</f>
        <v/>
      </c>
      <c r="H40" s="16">
        <f>IF(B40="","",SUMIFS(Pagos!$E:$E,Pagos!$B:$B,A40))</f>
        <v/>
      </c>
      <c r="I40" s="16">
        <f>IF(B40="","",SUMIFS(Pagos!$G:$G,Pagos!$B:$B,A40))</f>
        <v/>
      </c>
      <c r="J40" s="17">
        <f>IF(B40="","",IF(COUNTIF(Pagos!$B:$B,A40)=0,"",_xlfn.MAXIFS(Pagos!$D:$D,Pagos!$B:$B,A40)))</f>
        <v/>
      </c>
      <c r="K40" s="11">
        <f>IF(B40="","",IF(J40="",TODAY()-C40,TODAY()-J40))</f>
        <v/>
      </c>
      <c r="L40" s="11">
        <f>IF(B40="","",IF(F40="Diario",1,IF(F40="Semanal",7,IF(F40="Quincenal",15,IF(F40="Mensual",30,30))))+Resumen!$B$2)</f>
        <v/>
      </c>
      <c r="M40" s="11">
        <f>IF(B40="","",IF(G40&lt;=0,"Pagado",IF(K40&gt;L40,"Atrasado","Al dia")))</f>
        <v/>
      </c>
    </row>
    <row r="41">
      <c r="A41" s="11">
        <f>IF(B41="","","P"&amp;TEXT(ROW()-1,"000"))</f>
        <v/>
      </c>
      <c r="B41" s="12" t="n"/>
      <c r="C41" s="13" t="n"/>
      <c r="D41" s="14" t="n"/>
      <c r="E41" s="15" t="n"/>
      <c r="F41" s="12" t="n"/>
      <c r="G41" s="16">
        <f>IF(B41="","",D41-SUMIFS(Pagos!$H:$H,Pagos!$B:$B,A41))</f>
        <v/>
      </c>
      <c r="H41" s="16">
        <f>IF(B41="","",SUMIFS(Pagos!$E:$E,Pagos!$B:$B,A41))</f>
        <v/>
      </c>
      <c r="I41" s="16">
        <f>IF(B41="","",SUMIFS(Pagos!$G:$G,Pagos!$B:$B,A41))</f>
        <v/>
      </c>
      <c r="J41" s="17">
        <f>IF(B41="","",IF(COUNTIF(Pagos!$B:$B,A41)=0,"",_xlfn.MAXIFS(Pagos!$D:$D,Pagos!$B:$B,A41)))</f>
        <v/>
      </c>
      <c r="K41" s="11">
        <f>IF(B41="","",IF(J41="",TODAY()-C41,TODAY()-J41))</f>
        <v/>
      </c>
      <c r="L41" s="11">
        <f>IF(B41="","",IF(F41="Diario",1,IF(F41="Semanal",7,IF(F41="Quincenal",15,IF(F41="Mensual",30,30))))+Resumen!$B$2)</f>
        <v/>
      </c>
      <c r="M41" s="11">
        <f>IF(B41="","",IF(G41&lt;=0,"Pagado",IF(K41&gt;L41,"Atrasado","Al dia")))</f>
        <v/>
      </c>
    </row>
    <row r="42">
      <c r="A42" s="11">
        <f>IF(B42="","","P"&amp;TEXT(ROW()-1,"000"))</f>
        <v/>
      </c>
      <c r="B42" s="12" t="n"/>
      <c r="C42" s="13" t="n"/>
      <c r="D42" s="14" t="n"/>
      <c r="E42" s="15" t="n"/>
      <c r="F42" s="12" t="n"/>
      <c r="G42" s="16">
        <f>IF(B42="","",D42-SUMIFS(Pagos!$H:$H,Pagos!$B:$B,A42))</f>
        <v/>
      </c>
      <c r="H42" s="16">
        <f>IF(B42="","",SUMIFS(Pagos!$E:$E,Pagos!$B:$B,A42))</f>
        <v/>
      </c>
      <c r="I42" s="16">
        <f>IF(B42="","",SUMIFS(Pagos!$G:$G,Pagos!$B:$B,A42))</f>
        <v/>
      </c>
      <c r="J42" s="17">
        <f>IF(B42="","",IF(COUNTIF(Pagos!$B:$B,A42)=0,"",_xlfn.MAXIFS(Pagos!$D:$D,Pagos!$B:$B,A42)))</f>
        <v/>
      </c>
      <c r="K42" s="11">
        <f>IF(B42="","",IF(J42="",TODAY()-C42,TODAY()-J42))</f>
        <v/>
      </c>
      <c r="L42" s="11">
        <f>IF(B42="","",IF(F42="Diario",1,IF(F42="Semanal",7,IF(F42="Quincenal",15,IF(F42="Mensual",30,30))))+Resumen!$B$2)</f>
        <v/>
      </c>
      <c r="M42" s="11">
        <f>IF(B42="","",IF(G42&lt;=0,"Pagado",IF(K42&gt;L42,"Atrasado","Al dia")))</f>
        <v/>
      </c>
    </row>
    <row r="43">
      <c r="A43" s="11">
        <f>IF(B43="","","P"&amp;TEXT(ROW()-1,"000"))</f>
        <v/>
      </c>
      <c r="B43" s="12" t="n"/>
      <c r="C43" s="13" t="n"/>
      <c r="D43" s="14" t="n"/>
      <c r="E43" s="15" t="n"/>
      <c r="F43" s="12" t="n"/>
      <c r="G43" s="16">
        <f>IF(B43="","",D43-SUMIFS(Pagos!$H:$H,Pagos!$B:$B,A43))</f>
        <v/>
      </c>
      <c r="H43" s="16">
        <f>IF(B43="","",SUMIFS(Pagos!$E:$E,Pagos!$B:$B,A43))</f>
        <v/>
      </c>
      <c r="I43" s="16">
        <f>IF(B43="","",SUMIFS(Pagos!$G:$G,Pagos!$B:$B,A43))</f>
        <v/>
      </c>
      <c r="J43" s="17">
        <f>IF(B43="","",IF(COUNTIF(Pagos!$B:$B,A43)=0,"",_xlfn.MAXIFS(Pagos!$D:$D,Pagos!$B:$B,A43)))</f>
        <v/>
      </c>
      <c r="K43" s="11">
        <f>IF(B43="","",IF(J43="",TODAY()-C43,TODAY()-J43))</f>
        <v/>
      </c>
      <c r="L43" s="11">
        <f>IF(B43="","",IF(F43="Diario",1,IF(F43="Semanal",7,IF(F43="Quincenal",15,IF(F43="Mensual",30,30))))+Resumen!$B$2)</f>
        <v/>
      </c>
      <c r="M43" s="11">
        <f>IF(B43="","",IF(G43&lt;=0,"Pagado",IF(K43&gt;L43,"Atrasado","Al dia")))</f>
        <v/>
      </c>
    </row>
    <row r="44">
      <c r="A44" s="11">
        <f>IF(B44="","","P"&amp;TEXT(ROW()-1,"000"))</f>
        <v/>
      </c>
      <c r="B44" s="12" t="n"/>
      <c r="C44" s="13" t="n"/>
      <c r="D44" s="14" t="n"/>
      <c r="E44" s="15" t="n"/>
      <c r="F44" s="12" t="n"/>
      <c r="G44" s="16">
        <f>IF(B44="","",D44-SUMIFS(Pagos!$H:$H,Pagos!$B:$B,A44))</f>
        <v/>
      </c>
      <c r="H44" s="16">
        <f>IF(B44="","",SUMIFS(Pagos!$E:$E,Pagos!$B:$B,A44))</f>
        <v/>
      </c>
      <c r="I44" s="16">
        <f>IF(B44="","",SUMIFS(Pagos!$G:$G,Pagos!$B:$B,A44))</f>
        <v/>
      </c>
      <c r="J44" s="17">
        <f>IF(B44="","",IF(COUNTIF(Pagos!$B:$B,A44)=0,"",_xlfn.MAXIFS(Pagos!$D:$D,Pagos!$B:$B,A44)))</f>
        <v/>
      </c>
      <c r="K44" s="11">
        <f>IF(B44="","",IF(J44="",TODAY()-C44,TODAY()-J44))</f>
        <v/>
      </c>
      <c r="L44" s="11">
        <f>IF(B44="","",IF(F44="Diario",1,IF(F44="Semanal",7,IF(F44="Quincenal",15,IF(F44="Mensual",30,30))))+Resumen!$B$2)</f>
        <v/>
      </c>
      <c r="M44" s="11">
        <f>IF(B44="","",IF(G44&lt;=0,"Pagado",IF(K44&gt;L44,"Atrasado","Al dia")))</f>
        <v/>
      </c>
    </row>
    <row r="45">
      <c r="A45" s="11">
        <f>IF(B45="","","P"&amp;TEXT(ROW()-1,"000"))</f>
        <v/>
      </c>
      <c r="B45" s="12" t="n"/>
      <c r="C45" s="13" t="n"/>
      <c r="D45" s="14" t="n"/>
      <c r="E45" s="15" t="n"/>
      <c r="F45" s="12" t="n"/>
      <c r="G45" s="16">
        <f>IF(B45="","",D45-SUMIFS(Pagos!$H:$H,Pagos!$B:$B,A45))</f>
        <v/>
      </c>
      <c r="H45" s="16">
        <f>IF(B45="","",SUMIFS(Pagos!$E:$E,Pagos!$B:$B,A45))</f>
        <v/>
      </c>
      <c r="I45" s="16">
        <f>IF(B45="","",SUMIFS(Pagos!$G:$G,Pagos!$B:$B,A45))</f>
        <v/>
      </c>
      <c r="J45" s="17">
        <f>IF(B45="","",IF(COUNTIF(Pagos!$B:$B,A45)=0,"",_xlfn.MAXIFS(Pagos!$D:$D,Pagos!$B:$B,A45)))</f>
        <v/>
      </c>
      <c r="K45" s="11">
        <f>IF(B45="","",IF(J45="",TODAY()-C45,TODAY()-J45))</f>
        <v/>
      </c>
      <c r="L45" s="11">
        <f>IF(B45="","",IF(F45="Diario",1,IF(F45="Semanal",7,IF(F45="Quincenal",15,IF(F45="Mensual",30,30))))+Resumen!$B$2)</f>
        <v/>
      </c>
      <c r="M45" s="11">
        <f>IF(B45="","",IF(G45&lt;=0,"Pagado",IF(K45&gt;L45,"Atrasado","Al dia")))</f>
        <v/>
      </c>
    </row>
    <row r="46">
      <c r="A46" s="11">
        <f>IF(B46="","","P"&amp;TEXT(ROW()-1,"000"))</f>
        <v/>
      </c>
      <c r="B46" s="12" t="n"/>
      <c r="C46" s="13" t="n"/>
      <c r="D46" s="14" t="n"/>
      <c r="E46" s="15" t="n"/>
      <c r="F46" s="12" t="n"/>
      <c r="G46" s="16">
        <f>IF(B46="","",D46-SUMIFS(Pagos!$H:$H,Pagos!$B:$B,A46))</f>
        <v/>
      </c>
      <c r="H46" s="16">
        <f>IF(B46="","",SUMIFS(Pagos!$E:$E,Pagos!$B:$B,A46))</f>
        <v/>
      </c>
      <c r="I46" s="16">
        <f>IF(B46="","",SUMIFS(Pagos!$G:$G,Pagos!$B:$B,A46))</f>
        <v/>
      </c>
      <c r="J46" s="17">
        <f>IF(B46="","",IF(COUNTIF(Pagos!$B:$B,A46)=0,"",_xlfn.MAXIFS(Pagos!$D:$D,Pagos!$B:$B,A46)))</f>
        <v/>
      </c>
      <c r="K46" s="11">
        <f>IF(B46="","",IF(J46="",TODAY()-C46,TODAY()-J46))</f>
        <v/>
      </c>
      <c r="L46" s="11">
        <f>IF(B46="","",IF(F46="Diario",1,IF(F46="Semanal",7,IF(F46="Quincenal",15,IF(F46="Mensual",30,30))))+Resumen!$B$2)</f>
        <v/>
      </c>
      <c r="M46" s="11">
        <f>IF(B46="","",IF(G46&lt;=0,"Pagado",IF(K46&gt;L46,"Atrasado","Al dia")))</f>
        <v/>
      </c>
    </row>
    <row r="47">
      <c r="A47" s="11">
        <f>IF(B47="","","P"&amp;TEXT(ROW()-1,"000"))</f>
        <v/>
      </c>
      <c r="B47" s="12" t="n"/>
      <c r="C47" s="13" t="n"/>
      <c r="D47" s="14" t="n"/>
      <c r="E47" s="15" t="n"/>
      <c r="F47" s="12" t="n"/>
      <c r="G47" s="16">
        <f>IF(B47="","",D47-SUMIFS(Pagos!$H:$H,Pagos!$B:$B,A47))</f>
        <v/>
      </c>
      <c r="H47" s="16">
        <f>IF(B47="","",SUMIFS(Pagos!$E:$E,Pagos!$B:$B,A47))</f>
        <v/>
      </c>
      <c r="I47" s="16">
        <f>IF(B47="","",SUMIFS(Pagos!$G:$G,Pagos!$B:$B,A47))</f>
        <v/>
      </c>
      <c r="J47" s="17">
        <f>IF(B47="","",IF(COUNTIF(Pagos!$B:$B,A47)=0,"",_xlfn.MAXIFS(Pagos!$D:$D,Pagos!$B:$B,A47)))</f>
        <v/>
      </c>
      <c r="K47" s="11">
        <f>IF(B47="","",IF(J47="",TODAY()-C47,TODAY()-J47))</f>
        <v/>
      </c>
      <c r="L47" s="11">
        <f>IF(B47="","",IF(F47="Diario",1,IF(F47="Semanal",7,IF(F47="Quincenal",15,IF(F47="Mensual",30,30))))+Resumen!$B$2)</f>
        <v/>
      </c>
      <c r="M47" s="11">
        <f>IF(B47="","",IF(G47&lt;=0,"Pagado",IF(K47&gt;L47,"Atrasado","Al dia")))</f>
        <v/>
      </c>
    </row>
    <row r="48">
      <c r="A48" s="11">
        <f>IF(B48="","","P"&amp;TEXT(ROW()-1,"000"))</f>
        <v/>
      </c>
      <c r="B48" s="12" t="n"/>
      <c r="C48" s="13" t="n"/>
      <c r="D48" s="14" t="n"/>
      <c r="E48" s="15" t="n"/>
      <c r="F48" s="12" t="n"/>
      <c r="G48" s="16">
        <f>IF(B48="","",D48-SUMIFS(Pagos!$H:$H,Pagos!$B:$B,A48))</f>
        <v/>
      </c>
      <c r="H48" s="16">
        <f>IF(B48="","",SUMIFS(Pagos!$E:$E,Pagos!$B:$B,A48))</f>
        <v/>
      </c>
      <c r="I48" s="16">
        <f>IF(B48="","",SUMIFS(Pagos!$G:$G,Pagos!$B:$B,A48))</f>
        <v/>
      </c>
      <c r="J48" s="17">
        <f>IF(B48="","",IF(COUNTIF(Pagos!$B:$B,A48)=0,"",_xlfn.MAXIFS(Pagos!$D:$D,Pagos!$B:$B,A48)))</f>
        <v/>
      </c>
      <c r="K48" s="11">
        <f>IF(B48="","",IF(J48="",TODAY()-C48,TODAY()-J48))</f>
        <v/>
      </c>
      <c r="L48" s="11">
        <f>IF(B48="","",IF(F48="Diario",1,IF(F48="Semanal",7,IF(F48="Quincenal",15,IF(F48="Mensual",30,30))))+Resumen!$B$2)</f>
        <v/>
      </c>
      <c r="M48" s="11">
        <f>IF(B48="","",IF(G48&lt;=0,"Pagado",IF(K48&gt;L48,"Atrasado","Al dia")))</f>
        <v/>
      </c>
    </row>
    <row r="49">
      <c r="A49" s="11">
        <f>IF(B49="","","P"&amp;TEXT(ROW()-1,"000"))</f>
        <v/>
      </c>
      <c r="B49" s="12" t="n"/>
      <c r="C49" s="13" t="n"/>
      <c r="D49" s="14" t="n"/>
      <c r="E49" s="15" t="n"/>
      <c r="F49" s="12" t="n"/>
      <c r="G49" s="16">
        <f>IF(B49="","",D49-SUMIFS(Pagos!$H:$H,Pagos!$B:$B,A49))</f>
        <v/>
      </c>
      <c r="H49" s="16">
        <f>IF(B49="","",SUMIFS(Pagos!$E:$E,Pagos!$B:$B,A49))</f>
        <v/>
      </c>
      <c r="I49" s="16">
        <f>IF(B49="","",SUMIFS(Pagos!$G:$G,Pagos!$B:$B,A49))</f>
        <v/>
      </c>
      <c r="J49" s="17">
        <f>IF(B49="","",IF(COUNTIF(Pagos!$B:$B,A49)=0,"",_xlfn.MAXIFS(Pagos!$D:$D,Pagos!$B:$B,A49)))</f>
        <v/>
      </c>
      <c r="K49" s="11">
        <f>IF(B49="","",IF(J49="",TODAY()-C49,TODAY()-J49))</f>
        <v/>
      </c>
      <c r="L49" s="11">
        <f>IF(B49="","",IF(F49="Diario",1,IF(F49="Semanal",7,IF(F49="Quincenal",15,IF(F49="Mensual",30,30))))+Resumen!$B$2)</f>
        <v/>
      </c>
      <c r="M49" s="11">
        <f>IF(B49="","",IF(G49&lt;=0,"Pagado",IF(K49&gt;L49,"Atrasado","Al dia")))</f>
        <v/>
      </c>
    </row>
    <row r="50">
      <c r="A50" s="11">
        <f>IF(B50="","","P"&amp;TEXT(ROW()-1,"000"))</f>
        <v/>
      </c>
      <c r="B50" s="12" t="n"/>
      <c r="C50" s="13" t="n"/>
      <c r="D50" s="14" t="n"/>
      <c r="E50" s="15" t="n"/>
      <c r="F50" s="12" t="n"/>
      <c r="G50" s="16">
        <f>IF(B50="","",D50-SUMIFS(Pagos!$H:$H,Pagos!$B:$B,A50))</f>
        <v/>
      </c>
      <c r="H50" s="16">
        <f>IF(B50="","",SUMIFS(Pagos!$E:$E,Pagos!$B:$B,A50))</f>
        <v/>
      </c>
      <c r="I50" s="16">
        <f>IF(B50="","",SUMIFS(Pagos!$G:$G,Pagos!$B:$B,A50))</f>
        <v/>
      </c>
      <c r="J50" s="17">
        <f>IF(B50="","",IF(COUNTIF(Pagos!$B:$B,A50)=0,"",_xlfn.MAXIFS(Pagos!$D:$D,Pagos!$B:$B,A50)))</f>
        <v/>
      </c>
      <c r="K50" s="11">
        <f>IF(B50="","",IF(J50="",TODAY()-C50,TODAY()-J50))</f>
        <v/>
      </c>
      <c r="L50" s="11">
        <f>IF(B50="","",IF(F50="Diario",1,IF(F50="Semanal",7,IF(F50="Quincenal",15,IF(F50="Mensual",30,30))))+Resumen!$B$2)</f>
        <v/>
      </c>
      <c r="M50" s="11">
        <f>IF(B50="","",IF(G50&lt;=0,"Pagado",IF(K50&gt;L50,"Atrasado","Al dia")))</f>
        <v/>
      </c>
    </row>
    <row r="51">
      <c r="A51" s="11">
        <f>IF(B51="","","P"&amp;TEXT(ROW()-1,"000"))</f>
        <v/>
      </c>
      <c r="B51" s="12" t="n"/>
      <c r="C51" s="13" t="n"/>
      <c r="D51" s="14" t="n"/>
      <c r="E51" s="15" t="n"/>
      <c r="F51" s="12" t="n"/>
      <c r="G51" s="16">
        <f>IF(B51="","",D51-SUMIFS(Pagos!$H:$H,Pagos!$B:$B,A51))</f>
        <v/>
      </c>
      <c r="H51" s="16">
        <f>IF(B51="","",SUMIFS(Pagos!$E:$E,Pagos!$B:$B,A51))</f>
        <v/>
      </c>
      <c r="I51" s="16">
        <f>IF(B51="","",SUMIFS(Pagos!$G:$G,Pagos!$B:$B,A51))</f>
        <v/>
      </c>
      <c r="J51" s="17">
        <f>IF(B51="","",IF(COUNTIF(Pagos!$B:$B,A51)=0,"",_xlfn.MAXIFS(Pagos!$D:$D,Pagos!$B:$B,A51)))</f>
        <v/>
      </c>
      <c r="K51" s="11">
        <f>IF(B51="","",IF(J51="",TODAY()-C51,TODAY()-J51))</f>
        <v/>
      </c>
      <c r="L51" s="11">
        <f>IF(B51="","",IF(F51="Diario",1,IF(F51="Semanal",7,IF(F51="Quincenal",15,IF(F51="Mensual",30,30))))+Resumen!$B$2)</f>
        <v/>
      </c>
      <c r="M51" s="11">
        <f>IF(B51="","",IF(G51&lt;=0,"Pagado",IF(K51&gt;L51,"Atrasado","Al dia")))</f>
        <v/>
      </c>
    </row>
    <row r="52">
      <c r="A52" s="11">
        <f>IF(B52="","","P"&amp;TEXT(ROW()-1,"000"))</f>
        <v/>
      </c>
      <c r="B52" s="12" t="n"/>
      <c r="C52" s="13" t="n"/>
      <c r="D52" s="14" t="n"/>
      <c r="E52" s="15" t="n"/>
      <c r="F52" s="12" t="n"/>
      <c r="G52" s="16">
        <f>IF(B52="","",D52-SUMIFS(Pagos!$H:$H,Pagos!$B:$B,A52))</f>
        <v/>
      </c>
      <c r="H52" s="16">
        <f>IF(B52="","",SUMIFS(Pagos!$E:$E,Pagos!$B:$B,A52))</f>
        <v/>
      </c>
      <c r="I52" s="16">
        <f>IF(B52="","",SUMIFS(Pagos!$G:$G,Pagos!$B:$B,A52))</f>
        <v/>
      </c>
      <c r="J52" s="17">
        <f>IF(B52="","",IF(COUNTIF(Pagos!$B:$B,A52)=0,"",_xlfn.MAXIFS(Pagos!$D:$D,Pagos!$B:$B,A52)))</f>
        <v/>
      </c>
      <c r="K52" s="11">
        <f>IF(B52="","",IF(J52="",TODAY()-C52,TODAY()-J52))</f>
        <v/>
      </c>
      <c r="L52" s="11">
        <f>IF(B52="","",IF(F52="Diario",1,IF(F52="Semanal",7,IF(F52="Quincenal",15,IF(F52="Mensual",30,30))))+Resumen!$B$2)</f>
        <v/>
      </c>
      <c r="M52" s="11">
        <f>IF(B52="","",IF(G52&lt;=0,"Pagado",IF(K52&gt;L52,"Atrasado","Al dia")))</f>
        <v/>
      </c>
    </row>
    <row r="53">
      <c r="A53" s="11">
        <f>IF(B53="","","P"&amp;TEXT(ROW()-1,"000"))</f>
        <v/>
      </c>
      <c r="B53" s="12" t="n"/>
      <c r="C53" s="13" t="n"/>
      <c r="D53" s="14" t="n"/>
      <c r="E53" s="15" t="n"/>
      <c r="F53" s="12" t="n"/>
      <c r="G53" s="16">
        <f>IF(B53="","",D53-SUMIFS(Pagos!$H:$H,Pagos!$B:$B,A53))</f>
        <v/>
      </c>
      <c r="H53" s="16">
        <f>IF(B53="","",SUMIFS(Pagos!$E:$E,Pagos!$B:$B,A53))</f>
        <v/>
      </c>
      <c r="I53" s="16">
        <f>IF(B53="","",SUMIFS(Pagos!$G:$G,Pagos!$B:$B,A53))</f>
        <v/>
      </c>
      <c r="J53" s="17">
        <f>IF(B53="","",IF(COUNTIF(Pagos!$B:$B,A53)=0,"",_xlfn.MAXIFS(Pagos!$D:$D,Pagos!$B:$B,A53)))</f>
        <v/>
      </c>
      <c r="K53" s="11">
        <f>IF(B53="","",IF(J53="",TODAY()-C53,TODAY()-J53))</f>
        <v/>
      </c>
      <c r="L53" s="11">
        <f>IF(B53="","",IF(F53="Diario",1,IF(F53="Semanal",7,IF(F53="Quincenal",15,IF(F53="Mensual",30,30))))+Resumen!$B$2)</f>
        <v/>
      </c>
      <c r="M53" s="11">
        <f>IF(B53="","",IF(G53&lt;=0,"Pagado",IF(K53&gt;L53,"Atrasado","Al dia")))</f>
        <v/>
      </c>
    </row>
    <row r="54">
      <c r="A54" s="11">
        <f>IF(B54="","","P"&amp;TEXT(ROW()-1,"000"))</f>
        <v/>
      </c>
      <c r="B54" s="12" t="n"/>
      <c r="C54" s="13" t="n"/>
      <c r="D54" s="14" t="n"/>
      <c r="E54" s="15" t="n"/>
      <c r="F54" s="12" t="n"/>
      <c r="G54" s="16">
        <f>IF(B54="","",D54-SUMIFS(Pagos!$H:$H,Pagos!$B:$B,A54))</f>
        <v/>
      </c>
      <c r="H54" s="16">
        <f>IF(B54="","",SUMIFS(Pagos!$E:$E,Pagos!$B:$B,A54))</f>
        <v/>
      </c>
      <c r="I54" s="16">
        <f>IF(B54="","",SUMIFS(Pagos!$G:$G,Pagos!$B:$B,A54))</f>
        <v/>
      </c>
      <c r="J54" s="17">
        <f>IF(B54="","",IF(COUNTIF(Pagos!$B:$B,A54)=0,"",_xlfn.MAXIFS(Pagos!$D:$D,Pagos!$B:$B,A54)))</f>
        <v/>
      </c>
      <c r="K54" s="11">
        <f>IF(B54="","",IF(J54="",TODAY()-C54,TODAY()-J54))</f>
        <v/>
      </c>
      <c r="L54" s="11">
        <f>IF(B54="","",IF(F54="Diario",1,IF(F54="Semanal",7,IF(F54="Quincenal",15,IF(F54="Mensual",30,30))))+Resumen!$B$2)</f>
        <v/>
      </c>
      <c r="M54" s="11">
        <f>IF(B54="","",IF(G54&lt;=0,"Pagado",IF(K54&gt;L54,"Atrasado","Al dia")))</f>
        <v/>
      </c>
    </row>
    <row r="55">
      <c r="A55" s="11">
        <f>IF(B55="","","P"&amp;TEXT(ROW()-1,"000"))</f>
        <v/>
      </c>
      <c r="B55" s="12" t="n"/>
      <c r="C55" s="13" t="n"/>
      <c r="D55" s="14" t="n"/>
      <c r="E55" s="15" t="n"/>
      <c r="F55" s="12" t="n"/>
      <c r="G55" s="16">
        <f>IF(B55="","",D55-SUMIFS(Pagos!$H:$H,Pagos!$B:$B,A55))</f>
        <v/>
      </c>
      <c r="H55" s="16">
        <f>IF(B55="","",SUMIFS(Pagos!$E:$E,Pagos!$B:$B,A55))</f>
        <v/>
      </c>
      <c r="I55" s="16">
        <f>IF(B55="","",SUMIFS(Pagos!$G:$G,Pagos!$B:$B,A55))</f>
        <v/>
      </c>
      <c r="J55" s="17">
        <f>IF(B55="","",IF(COUNTIF(Pagos!$B:$B,A55)=0,"",_xlfn.MAXIFS(Pagos!$D:$D,Pagos!$B:$B,A55)))</f>
        <v/>
      </c>
      <c r="K55" s="11">
        <f>IF(B55="","",IF(J55="",TODAY()-C55,TODAY()-J55))</f>
        <v/>
      </c>
      <c r="L55" s="11">
        <f>IF(B55="","",IF(F55="Diario",1,IF(F55="Semanal",7,IF(F55="Quincenal",15,IF(F55="Mensual",30,30))))+Resumen!$B$2)</f>
        <v/>
      </c>
      <c r="M55" s="11">
        <f>IF(B55="","",IF(G55&lt;=0,"Pagado",IF(K55&gt;L55,"Atrasado","Al dia")))</f>
        <v/>
      </c>
    </row>
    <row r="56">
      <c r="A56" s="11">
        <f>IF(B56="","","P"&amp;TEXT(ROW()-1,"000"))</f>
        <v/>
      </c>
      <c r="B56" s="12" t="n"/>
      <c r="C56" s="13" t="n"/>
      <c r="D56" s="14" t="n"/>
      <c r="E56" s="15" t="n"/>
      <c r="F56" s="12" t="n"/>
      <c r="G56" s="16">
        <f>IF(B56="","",D56-SUMIFS(Pagos!$H:$H,Pagos!$B:$B,A56))</f>
        <v/>
      </c>
      <c r="H56" s="16">
        <f>IF(B56="","",SUMIFS(Pagos!$E:$E,Pagos!$B:$B,A56))</f>
        <v/>
      </c>
      <c r="I56" s="16">
        <f>IF(B56="","",SUMIFS(Pagos!$G:$G,Pagos!$B:$B,A56))</f>
        <v/>
      </c>
      <c r="J56" s="17">
        <f>IF(B56="","",IF(COUNTIF(Pagos!$B:$B,A56)=0,"",_xlfn.MAXIFS(Pagos!$D:$D,Pagos!$B:$B,A56)))</f>
        <v/>
      </c>
      <c r="K56" s="11">
        <f>IF(B56="","",IF(J56="",TODAY()-C56,TODAY()-J56))</f>
        <v/>
      </c>
      <c r="L56" s="11">
        <f>IF(B56="","",IF(F56="Diario",1,IF(F56="Semanal",7,IF(F56="Quincenal",15,IF(F56="Mensual",30,30))))+Resumen!$B$2)</f>
        <v/>
      </c>
      <c r="M56" s="11">
        <f>IF(B56="","",IF(G56&lt;=0,"Pagado",IF(K56&gt;L56,"Atrasado","Al dia")))</f>
        <v/>
      </c>
    </row>
    <row r="57">
      <c r="A57" s="11">
        <f>IF(B57="","","P"&amp;TEXT(ROW()-1,"000"))</f>
        <v/>
      </c>
      <c r="B57" s="12" t="n"/>
      <c r="C57" s="13" t="n"/>
      <c r="D57" s="14" t="n"/>
      <c r="E57" s="15" t="n"/>
      <c r="F57" s="12" t="n"/>
      <c r="G57" s="16">
        <f>IF(B57="","",D57-SUMIFS(Pagos!$H:$H,Pagos!$B:$B,A57))</f>
        <v/>
      </c>
      <c r="H57" s="16">
        <f>IF(B57="","",SUMIFS(Pagos!$E:$E,Pagos!$B:$B,A57))</f>
        <v/>
      </c>
      <c r="I57" s="16">
        <f>IF(B57="","",SUMIFS(Pagos!$G:$G,Pagos!$B:$B,A57))</f>
        <v/>
      </c>
      <c r="J57" s="17">
        <f>IF(B57="","",IF(COUNTIF(Pagos!$B:$B,A57)=0,"",_xlfn.MAXIFS(Pagos!$D:$D,Pagos!$B:$B,A57)))</f>
        <v/>
      </c>
      <c r="K57" s="11">
        <f>IF(B57="","",IF(J57="",TODAY()-C57,TODAY()-J57))</f>
        <v/>
      </c>
      <c r="L57" s="11">
        <f>IF(B57="","",IF(F57="Diario",1,IF(F57="Semanal",7,IF(F57="Quincenal",15,IF(F57="Mensual",30,30))))+Resumen!$B$2)</f>
        <v/>
      </c>
      <c r="M57" s="11">
        <f>IF(B57="","",IF(G57&lt;=0,"Pagado",IF(K57&gt;L57,"Atrasado","Al dia")))</f>
        <v/>
      </c>
    </row>
    <row r="58">
      <c r="A58" s="11">
        <f>IF(B58="","","P"&amp;TEXT(ROW()-1,"000"))</f>
        <v/>
      </c>
      <c r="B58" s="12" t="n"/>
      <c r="C58" s="13" t="n"/>
      <c r="D58" s="14" t="n"/>
      <c r="E58" s="15" t="n"/>
      <c r="F58" s="12" t="n"/>
      <c r="G58" s="16">
        <f>IF(B58="","",D58-SUMIFS(Pagos!$H:$H,Pagos!$B:$B,A58))</f>
        <v/>
      </c>
      <c r="H58" s="16">
        <f>IF(B58="","",SUMIFS(Pagos!$E:$E,Pagos!$B:$B,A58))</f>
        <v/>
      </c>
      <c r="I58" s="16">
        <f>IF(B58="","",SUMIFS(Pagos!$G:$G,Pagos!$B:$B,A58))</f>
        <v/>
      </c>
      <c r="J58" s="17">
        <f>IF(B58="","",IF(COUNTIF(Pagos!$B:$B,A58)=0,"",_xlfn.MAXIFS(Pagos!$D:$D,Pagos!$B:$B,A58)))</f>
        <v/>
      </c>
      <c r="K58" s="11">
        <f>IF(B58="","",IF(J58="",TODAY()-C58,TODAY()-J58))</f>
        <v/>
      </c>
      <c r="L58" s="11">
        <f>IF(B58="","",IF(F58="Diario",1,IF(F58="Semanal",7,IF(F58="Quincenal",15,IF(F58="Mensual",30,30))))+Resumen!$B$2)</f>
        <v/>
      </c>
      <c r="M58" s="11">
        <f>IF(B58="","",IF(G58&lt;=0,"Pagado",IF(K58&gt;L58,"Atrasado","Al dia")))</f>
        <v/>
      </c>
    </row>
    <row r="59">
      <c r="A59" s="11">
        <f>IF(B59="","","P"&amp;TEXT(ROW()-1,"000"))</f>
        <v/>
      </c>
      <c r="B59" s="12" t="n"/>
      <c r="C59" s="13" t="n"/>
      <c r="D59" s="14" t="n"/>
      <c r="E59" s="15" t="n"/>
      <c r="F59" s="12" t="n"/>
      <c r="G59" s="16">
        <f>IF(B59="","",D59-SUMIFS(Pagos!$H:$H,Pagos!$B:$B,A59))</f>
        <v/>
      </c>
      <c r="H59" s="16">
        <f>IF(B59="","",SUMIFS(Pagos!$E:$E,Pagos!$B:$B,A59))</f>
        <v/>
      </c>
      <c r="I59" s="16">
        <f>IF(B59="","",SUMIFS(Pagos!$G:$G,Pagos!$B:$B,A59))</f>
        <v/>
      </c>
      <c r="J59" s="17">
        <f>IF(B59="","",IF(COUNTIF(Pagos!$B:$B,A59)=0,"",_xlfn.MAXIFS(Pagos!$D:$D,Pagos!$B:$B,A59)))</f>
        <v/>
      </c>
      <c r="K59" s="11">
        <f>IF(B59="","",IF(J59="",TODAY()-C59,TODAY()-J59))</f>
        <v/>
      </c>
      <c r="L59" s="11">
        <f>IF(B59="","",IF(F59="Diario",1,IF(F59="Semanal",7,IF(F59="Quincenal",15,IF(F59="Mensual",30,30))))+Resumen!$B$2)</f>
        <v/>
      </c>
      <c r="M59" s="11">
        <f>IF(B59="","",IF(G59&lt;=0,"Pagado",IF(K59&gt;L59,"Atrasado","Al dia")))</f>
        <v/>
      </c>
    </row>
    <row r="60">
      <c r="A60" s="11">
        <f>IF(B60="","","P"&amp;TEXT(ROW()-1,"000"))</f>
        <v/>
      </c>
      <c r="B60" s="12" t="n"/>
      <c r="C60" s="13" t="n"/>
      <c r="D60" s="14" t="n"/>
      <c r="E60" s="15" t="n"/>
      <c r="F60" s="12" t="n"/>
      <c r="G60" s="16">
        <f>IF(B60="","",D60-SUMIFS(Pagos!$H:$H,Pagos!$B:$B,A60))</f>
        <v/>
      </c>
      <c r="H60" s="16">
        <f>IF(B60="","",SUMIFS(Pagos!$E:$E,Pagos!$B:$B,A60))</f>
        <v/>
      </c>
      <c r="I60" s="16">
        <f>IF(B60="","",SUMIFS(Pagos!$G:$G,Pagos!$B:$B,A60))</f>
        <v/>
      </c>
      <c r="J60" s="17">
        <f>IF(B60="","",IF(COUNTIF(Pagos!$B:$B,A60)=0,"",_xlfn.MAXIFS(Pagos!$D:$D,Pagos!$B:$B,A60)))</f>
        <v/>
      </c>
      <c r="K60" s="11">
        <f>IF(B60="","",IF(J60="",TODAY()-C60,TODAY()-J60))</f>
        <v/>
      </c>
      <c r="L60" s="11">
        <f>IF(B60="","",IF(F60="Diario",1,IF(F60="Semanal",7,IF(F60="Quincenal",15,IF(F60="Mensual",30,30))))+Resumen!$B$2)</f>
        <v/>
      </c>
      <c r="M60" s="11">
        <f>IF(B60="","",IF(G60&lt;=0,"Pagado",IF(K60&gt;L60,"Atrasado","Al dia")))</f>
        <v/>
      </c>
    </row>
    <row r="61">
      <c r="A61" s="11">
        <f>IF(B61="","","P"&amp;TEXT(ROW()-1,"000"))</f>
        <v/>
      </c>
      <c r="B61" s="12" t="n"/>
      <c r="C61" s="13" t="n"/>
      <c r="D61" s="14" t="n"/>
      <c r="E61" s="15" t="n"/>
      <c r="F61" s="12" t="n"/>
      <c r="G61" s="16">
        <f>IF(B61="","",D61-SUMIFS(Pagos!$H:$H,Pagos!$B:$B,A61))</f>
        <v/>
      </c>
      <c r="H61" s="16">
        <f>IF(B61="","",SUMIFS(Pagos!$E:$E,Pagos!$B:$B,A61))</f>
        <v/>
      </c>
      <c r="I61" s="16">
        <f>IF(B61="","",SUMIFS(Pagos!$G:$G,Pagos!$B:$B,A61))</f>
        <v/>
      </c>
      <c r="J61" s="17">
        <f>IF(B61="","",IF(COUNTIF(Pagos!$B:$B,A61)=0,"",_xlfn.MAXIFS(Pagos!$D:$D,Pagos!$B:$B,A61)))</f>
        <v/>
      </c>
      <c r="K61" s="11">
        <f>IF(B61="","",IF(J61="",TODAY()-C61,TODAY()-J61))</f>
        <v/>
      </c>
      <c r="L61" s="11">
        <f>IF(B61="","",IF(F61="Diario",1,IF(F61="Semanal",7,IF(F61="Quincenal",15,IF(F61="Mensual",30,30))))+Resumen!$B$2)</f>
        <v/>
      </c>
      <c r="M61" s="11">
        <f>IF(B61="","",IF(G61&lt;=0,"Pagado",IF(K61&gt;L61,"Atrasado","Al dia")))</f>
        <v/>
      </c>
    </row>
    <row r="62">
      <c r="A62" s="11">
        <f>IF(B62="","","P"&amp;TEXT(ROW()-1,"000"))</f>
        <v/>
      </c>
      <c r="B62" s="12" t="n"/>
      <c r="C62" s="13" t="n"/>
      <c r="D62" s="14" t="n"/>
      <c r="E62" s="15" t="n"/>
      <c r="F62" s="12" t="n"/>
      <c r="G62" s="16">
        <f>IF(B62="","",D62-SUMIFS(Pagos!$H:$H,Pagos!$B:$B,A62))</f>
        <v/>
      </c>
      <c r="H62" s="16">
        <f>IF(B62="","",SUMIFS(Pagos!$E:$E,Pagos!$B:$B,A62))</f>
        <v/>
      </c>
      <c r="I62" s="16">
        <f>IF(B62="","",SUMIFS(Pagos!$G:$G,Pagos!$B:$B,A62))</f>
        <v/>
      </c>
      <c r="J62" s="17">
        <f>IF(B62="","",IF(COUNTIF(Pagos!$B:$B,A62)=0,"",_xlfn.MAXIFS(Pagos!$D:$D,Pagos!$B:$B,A62)))</f>
        <v/>
      </c>
      <c r="K62" s="11">
        <f>IF(B62="","",IF(J62="",TODAY()-C62,TODAY()-J62))</f>
        <v/>
      </c>
      <c r="L62" s="11">
        <f>IF(B62="","",IF(F62="Diario",1,IF(F62="Semanal",7,IF(F62="Quincenal",15,IF(F62="Mensual",30,30))))+Resumen!$B$2)</f>
        <v/>
      </c>
      <c r="M62" s="11">
        <f>IF(B62="","",IF(G62&lt;=0,"Pagado",IF(K62&gt;L62,"Atrasado","Al dia")))</f>
        <v/>
      </c>
    </row>
    <row r="63">
      <c r="A63" s="11">
        <f>IF(B63="","","P"&amp;TEXT(ROW()-1,"000"))</f>
        <v/>
      </c>
      <c r="B63" s="12" t="n"/>
      <c r="C63" s="13" t="n"/>
      <c r="D63" s="14" t="n"/>
      <c r="E63" s="15" t="n"/>
      <c r="F63" s="12" t="n"/>
      <c r="G63" s="16">
        <f>IF(B63="","",D63-SUMIFS(Pagos!$H:$H,Pagos!$B:$B,A63))</f>
        <v/>
      </c>
      <c r="H63" s="16">
        <f>IF(B63="","",SUMIFS(Pagos!$E:$E,Pagos!$B:$B,A63))</f>
        <v/>
      </c>
      <c r="I63" s="16">
        <f>IF(B63="","",SUMIFS(Pagos!$G:$G,Pagos!$B:$B,A63))</f>
        <v/>
      </c>
      <c r="J63" s="17">
        <f>IF(B63="","",IF(COUNTIF(Pagos!$B:$B,A63)=0,"",_xlfn.MAXIFS(Pagos!$D:$D,Pagos!$B:$B,A63)))</f>
        <v/>
      </c>
      <c r="K63" s="11">
        <f>IF(B63="","",IF(J63="",TODAY()-C63,TODAY()-J63))</f>
        <v/>
      </c>
      <c r="L63" s="11">
        <f>IF(B63="","",IF(F63="Diario",1,IF(F63="Semanal",7,IF(F63="Quincenal",15,IF(F63="Mensual",30,30))))+Resumen!$B$2)</f>
        <v/>
      </c>
      <c r="M63" s="11">
        <f>IF(B63="","",IF(G63&lt;=0,"Pagado",IF(K63&gt;L63,"Atrasado","Al dia")))</f>
        <v/>
      </c>
    </row>
    <row r="64">
      <c r="A64" s="11">
        <f>IF(B64="","","P"&amp;TEXT(ROW()-1,"000"))</f>
        <v/>
      </c>
      <c r="B64" s="12" t="n"/>
      <c r="C64" s="13" t="n"/>
      <c r="D64" s="14" t="n"/>
      <c r="E64" s="15" t="n"/>
      <c r="F64" s="12" t="n"/>
      <c r="G64" s="16">
        <f>IF(B64="","",D64-SUMIFS(Pagos!$H:$H,Pagos!$B:$B,A64))</f>
        <v/>
      </c>
      <c r="H64" s="16">
        <f>IF(B64="","",SUMIFS(Pagos!$E:$E,Pagos!$B:$B,A64))</f>
        <v/>
      </c>
      <c r="I64" s="16">
        <f>IF(B64="","",SUMIFS(Pagos!$G:$G,Pagos!$B:$B,A64))</f>
        <v/>
      </c>
      <c r="J64" s="17">
        <f>IF(B64="","",IF(COUNTIF(Pagos!$B:$B,A64)=0,"",_xlfn.MAXIFS(Pagos!$D:$D,Pagos!$B:$B,A64)))</f>
        <v/>
      </c>
      <c r="K64" s="11">
        <f>IF(B64="","",IF(J64="",TODAY()-C64,TODAY()-J64))</f>
        <v/>
      </c>
      <c r="L64" s="11">
        <f>IF(B64="","",IF(F64="Diario",1,IF(F64="Semanal",7,IF(F64="Quincenal",15,IF(F64="Mensual",30,30))))+Resumen!$B$2)</f>
        <v/>
      </c>
      <c r="M64" s="11">
        <f>IF(B64="","",IF(G64&lt;=0,"Pagado",IF(K64&gt;L64,"Atrasado","Al dia")))</f>
        <v/>
      </c>
    </row>
    <row r="65">
      <c r="A65" s="11">
        <f>IF(B65="","","P"&amp;TEXT(ROW()-1,"000"))</f>
        <v/>
      </c>
      <c r="B65" s="12" t="n"/>
      <c r="C65" s="13" t="n"/>
      <c r="D65" s="14" t="n"/>
      <c r="E65" s="15" t="n"/>
      <c r="F65" s="12" t="n"/>
      <c r="G65" s="16">
        <f>IF(B65="","",D65-SUMIFS(Pagos!$H:$H,Pagos!$B:$B,A65))</f>
        <v/>
      </c>
      <c r="H65" s="16">
        <f>IF(B65="","",SUMIFS(Pagos!$E:$E,Pagos!$B:$B,A65))</f>
        <v/>
      </c>
      <c r="I65" s="16">
        <f>IF(B65="","",SUMIFS(Pagos!$G:$G,Pagos!$B:$B,A65))</f>
        <v/>
      </c>
      <c r="J65" s="17">
        <f>IF(B65="","",IF(COUNTIF(Pagos!$B:$B,A65)=0,"",_xlfn.MAXIFS(Pagos!$D:$D,Pagos!$B:$B,A65)))</f>
        <v/>
      </c>
      <c r="K65" s="11">
        <f>IF(B65="","",IF(J65="",TODAY()-C65,TODAY()-J65))</f>
        <v/>
      </c>
      <c r="L65" s="11">
        <f>IF(B65="","",IF(F65="Diario",1,IF(F65="Semanal",7,IF(F65="Quincenal",15,IF(F65="Mensual",30,30))))+Resumen!$B$2)</f>
        <v/>
      </c>
      <c r="M65" s="11">
        <f>IF(B65="","",IF(G65&lt;=0,"Pagado",IF(K65&gt;L65,"Atrasado","Al dia")))</f>
        <v/>
      </c>
    </row>
    <row r="66">
      <c r="A66" s="11">
        <f>IF(B66="","","P"&amp;TEXT(ROW()-1,"000"))</f>
        <v/>
      </c>
      <c r="B66" s="12" t="n"/>
      <c r="C66" s="13" t="n"/>
      <c r="D66" s="14" t="n"/>
      <c r="E66" s="15" t="n"/>
      <c r="F66" s="12" t="n"/>
      <c r="G66" s="16">
        <f>IF(B66="","",D66-SUMIFS(Pagos!$H:$H,Pagos!$B:$B,A66))</f>
        <v/>
      </c>
      <c r="H66" s="16">
        <f>IF(B66="","",SUMIFS(Pagos!$E:$E,Pagos!$B:$B,A66))</f>
        <v/>
      </c>
      <c r="I66" s="16">
        <f>IF(B66="","",SUMIFS(Pagos!$G:$G,Pagos!$B:$B,A66))</f>
        <v/>
      </c>
      <c r="J66" s="17">
        <f>IF(B66="","",IF(COUNTIF(Pagos!$B:$B,A66)=0,"",_xlfn.MAXIFS(Pagos!$D:$D,Pagos!$B:$B,A66)))</f>
        <v/>
      </c>
      <c r="K66" s="11">
        <f>IF(B66="","",IF(J66="",TODAY()-C66,TODAY()-J66))</f>
        <v/>
      </c>
      <c r="L66" s="11">
        <f>IF(B66="","",IF(F66="Diario",1,IF(F66="Semanal",7,IF(F66="Quincenal",15,IF(F66="Mensual",30,30))))+Resumen!$B$2)</f>
        <v/>
      </c>
      <c r="M66" s="11">
        <f>IF(B66="","",IF(G66&lt;=0,"Pagado",IF(K66&gt;L66,"Atrasado","Al dia")))</f>
        <v/>
      </c>
    </row>
    <row r="67">
      <c r="A67" s="11">
        <f>IF(B67="","","P"&amp;TEXT(ROW()-1,"000"))</f>
        <v/>
      </c>
      <c r="B67" s="12" t="n"/>
      <c r="C67" s="13" t="n"/>
      <c r="D67" s="14" t="n"/>
      <c r="E67" s="15" t="n"/>
      <c r="F67" s="12" t="n"/>
      <c r="G67" s="16">
        <f>IF(B67="","",D67-SUMIFS(Pagos!$H:$H,Pagos!$B:$B,A67))</f>
        <v/>
      </c>
      <c r="H67" s="16">
        <f>IF(B67="","",SUMIFS(Pagos!$E:$E,Pagos!$B:$B,A67))</f>
        <v/>
      </c>
      <c r="I67" s="16">
        <f>IF(B67="","",SUMIFS(Pagos!$G:$G,Pagos!$B:$B,A67))</f>
        <v/>
      </c>
      <c r="J67" s="17">
        <f>IF(B67="","",IF(COUNTIF(Pagos!$B:$B,A67)=0,"",_xlfn.MAXIFS(Pagos!$D:$D,Pagos!$B:$B,A67)))</f>
        <v/>
      </c>
      <c r="K67" s="11">
        <f>IF(B67="","",IF(J67="",TODAY()-C67,TODAY()-J67))</f>
        <v/>
      </c>
      <c r="L67" s="11">
        <f>IF(B67="","",IF(F67="Diario",1,IF(F67="Semanal",7,IF(F67="Quincenal",15,IF(F67="Mensual",30,30))))+Resumen!$B$2)</f>
        <v/>
      </c>
      <c r="M67" s="11">
        <f>IF(B67="","",IF(G67&lt;=0,"Pagado",IF(K67&gt;L67,"Atrasado","Al dia")))</f>
        <v/>
      </c>
    </row>
    <row r="68">
      <c r="A68" s="11">
        <f>IF(B68="","","P"&amp;TEXT(ROW()-1,"000"))</f>
        <v/>
      </c>
      <c r="B68" s="12" t="n"/>
      <c r="C68" s="13" t="n"/>
      <c r="D68" s="14" t="n"/>
      <c r="E68" s="15" t="n"/>
      <c r="F68" s="12" t="n"/>
      <c r="G68" s="16">
        <f>IF(B68="","",D68-SUMIFS(Pagos!$H:$H,Pagos!$B:$B,A68))</f>
        <v/>
      </c>
      <c r="H68" s="16">
        <f>IF(B68="","",SUMIFS(Pagos!$E:$E,Pagos!$B:$B,A68))</f>
        <v/>
      </c>
      <c r="I68" s="16">
        <f>IF(B68="","",SUMIFS(Pagos!$G:$G,Pagos!$B:$B,A68))</f>
        <v/>
      </c>
      <c r="J68" s="17">
        <f>IF(B68="","",IF(COUNTIF(Pagos!$B:$B,A68)=0,"",_xlfn.MAXIFS(Pagos!$D:$D,Pagos!$B:$B,A68)))</f>
        <v/>
      </c>
      <c r="K68" s="11">
        <f>IF(B68="","",IF(J68="",TODAY()-C68,TODAY()-J68))</f>
        <v/>
      </c>
      <c r="L68" s="11">
        <f>IF(B68="","",IF(F68="Diario",1,IF(F68="Semanal",7,IF(F68="Quincenal",15,IF(F68="Mensual",30,30))))+Resumen!$B$2)</f>
        <v/>
      </c>
      <c r="M68" s="11">
        <f>IF(B68="","",IF(G68&lt;=0,"Pagado",IF(K68&gt;L68,"Atrasado","Al dia")))</f>
        <v/>
      </c>
    </row>
    <row r="69">
      <c r="A69" s="11">
        <f>IF(B69="","","P"&amp;TEXT(ROW()-1,"000"))</f>
        <v/>
      </c>
      <c r="B69" s="12" t="n"/>
      <c r="C69" s="13" t="n"/>
      <c r="D69" s="14" t="n"/>
      <c r="E69" s="15" t="n"/>
      <c r="F69" s="12" t="n"/>
      <c r="G69" s="16">
        <f>IF(B69="","",D69-SUMIFS(Pagos!$H:$H,Pagos!$B:$B,A69))</f>
        <v/>
      </c>
      <c r="H69" s="16">
        <f>IF(B69="","",SUMIFS(Pagos!$E:$E,Pagos!$B:$B,A69))</f>
        <v/>
      </c>
      <c r="I69" s="16">
        <f>IF(B69="","",SUMIFS(Pagos!$G:$G,Pagos!$B:$B,A69))</f>
        <v/>
      </c>
      <c r="J69" s="17">
        <f>IF(B69="","",IF(COUNTIF(Pagos!$B:$B,A69)=0,"",_xlfn.MAXIFS(Pagos!$D:$D,Pagos!$B:$B,A69)))</f>
        <v/>
      </c>
      <c r="K69" s="11">
        <f>IF(B69="","",IF(J69="",TODAY()-C69,TODAY()-J69))</f>
        <v/>
      </c>
      <c r="L69" s="11">
        <f>IF(B69="","",IF(F69="Diario",1,IF(F69="Semanal",7,IF(F69="Quincenal",15,IF(F69="Mensual",30,30))))+Resumen!$B$2)</f>
        <v/>
      </c>
      <c r="M69" s="11">
        <f>IF(B69="","",IF(G69&lt;=0,"Pagado",IF(K69&gt;L69,"Atrasado","Al dia")))</f>
        <v/>
      </c>
    </row>
    <row r="70">
      <c r="A70" s="11">
        <f>IF(B70="","","P"&amp;TEXT(ROW()-1,"000"))</f>
        <v/>
      </c>
      <c r="B70" s="12" t="n"/>
      <c r="C70" s="13" t="n"/>
      <c r="D70" s="14" t="n"/>
      <c r="E70" s="15" t="n"/>
      <c r="F70" s="12" t="n"/>
      <c r="G70" s="16">
        <f>IF(B70="","",D70-SUMIFS(Pagos!$H:$H,Pagos!$B:$B,A70))</f>
        <v/>
      </c>
      <c r="H70" s="16">
        <f>IF(B70="","",SUMIFS(Pagos!$E:$E,Pagos!$B:$B,A70))</f>
        <v/>
      </c>
      <c r="I70" s="16">
        <f>IF(B70="","",SUMIFS(Pagos!$G:$G,Pagos!$B:$B,A70))</f>
        <v/>
      </c>
      <c r="J70" s="17">
        <f>IF(B70="","",IF(COUNTIF(Pagos!$B:$B,A70)=0,"",_xlfn.MAXIFS(Pagos!$D:$D,Pagos!$B:$B,A70)))</f>
        <v/>
      </c>
      <c r="K70" s="11">
        <f>IF(B70="","",IF(J70="",TODAY()-C70,TODAY()-J70))</f>
        <v/>
      </c>
      <c r="L70" s="11">
        <f>IF(B70="","",IF(F70="Diario",1,IF(F70="Semanal",7,IF(F70="Quincenal",15,IF(F70="Mensual",30,30))))+Resumen!$B$2)</f>
        <v/>
      </c>
      <c r="M70" s="11">
        <f>IF(B70="","",IF(G70&lt;=0,"Pagado",IF(K70&gt;L70,"Atrasado","Al dia")))</f>
        <v/>
      </c>
    </row>
    <row r="71">
      <c r="A71" s="11">
        <f>IF(B71="","","P"&amp;TEXT(ROW()-1,"000"))</f>
        <v/>
      </c>
      <c r="B71" s="12" t="n"/>
      <c r="C71" s="13" t="n"/>
      <c r="D71" s="14" t="n"/>
      <c r="E71" s="15" t="n"/>
      <c r="F71" s="12" t="n"/>
      <c r="G71" s="16">
        <f>IF(B71="","",D71-SUMIFS(Pagos!$H:$H,Pagos!$B:$B,A71))</f>
        <v/>
      </c>
      <c r="H71" s="16">
        <f>IF(B71="","",SUMIFS(Pagos!$E:$E,Pagos!$B:$B,A71))</f>
        <v/>
      </c>
      <c r="I71" s="16">
        <f>IF(B71="","",SUMIFS(Pagos!$G:$G,Pagos!$B:$B,A71))</f>
        <v/>
      </c>
      <c r="J71" s="17">
        <f>IF(B71="","",IF(COUNTIF(Pagos!$B:$B,A71)=0,"",_xlfn.MAXIFS(Pagos!$D:$D,Pagos!$B:$B,A71)))</f>
        <v/>
      </c>
      <c r="K71" s="11">
        <f>IF(B71="","",IF(J71="",TODAY()-C71,TODAY()-J71))</f>
        <v/>
      </c>
      <c r="L71" s="11">
        <f>IF(B71="","",IF(F71="Diario",1,IF(F71="Semanal",7,IF(F71="Quincenal",15,IF(F71="Mensual",30,30))))+Resumen!$B$2)</f>
        <v/>
      </c>
      <c r="M71" s="11">
        <f>IF(B71="","",IF(G71&lt;=0,"Pagado",IF(K71&gt;L71,"Atrasado","Al dia")))</f>
        <v/>
      </c>
    </row>
    <row r="72">
      <c r="A72" s="11">
        <f>IF(B72="","","P"&amp;TEXT(ROW()-1,"000"))</f>
        <v/>
      </c>
      <c r="B72" s="12" t="n"/>
      <c r="C72" s="13" t="n"/>
      <c r="D72" s="14" t="n"/>
      <c r="E72" s="15" t="n"/>
      <c r="F72" s="12" t="n"/>
      <c r="G72" s="16">
        <f>IF(B72="","",D72-SUMIFS(Pagos!$H:$H,Pagos!$B:$B,A72))</f>
        <v/>
      </c>
      <c r="H72" s="16">
        <f>IF(B72="","",SUMIFS(Pagos!$E:$E,Pagos!$B:$B,A72))</f>
        <v/>
      </c>
      <c r="I72" s="16">
        <f>IF(B72="","",SUMIFS(Pagos!$G:$G,Pagos!$B:$B,A72))</f>
        <v/>
      </c>
      <c r="J72" s="17">
        <f>IF(B72="","",IF(COUNTIF(Pagos!$B:$B,A72)=0,"",_xlfn.MAXIFS(Pagos!$D:$D,Pagos!$B:$B,A72)))</f>
        <v/>
      </c>
      <c r="K72" s="11">
        <f>IF(B72="","",IF(J72="",TODAY()-C72,TODAY()-J72))</f>
        <v/>
      </c>
      <c r="L72" s="11">
        <f>IF(B72="","",IF(F72="Diario",1,IF(F72="Semanal",7,IF(F72="Quincenal",15,IF(F72="Mensual",30,30))))+Resumen!$B$2)</f>
        <v/>
      </c>
      <c r="M72" s="11">
        <f>IF(B72="","",IF(G72&lt;=0,"Pagado",IF(K72&gt;L72,"Atrasado","Al dia")))</f>
        <v/>
      </c>
    </row>
    <row r="73">
      <c r="A73" s="11">
        <f>IF(B73="","","P"&amp;TEXT(ROW()-1,"000"))</f>
        <v/>
      </c>
      <c r="B73" s="12" t="n"/>
      <c r="C73" s="13" t="n"/>
      <c r="D73" s="14" t="n"/>
      <c r="E73" s="15" t="n"/>
      <c r="F73" s="12" t="n"/>
      <c r="G73" s="16">
        <f>IF(B73="","",D73-SUMIFS(Pagos!$H:$H,Pagos!$B:$B,A73))</f>
        <v/>
      </c>
      <c r="H73" s="16">
        <f>IF(B73="","",SUMIFS(Pagos!$E:$E,Pagos!$B:$B,A73))</f>
        <v/>
      </c>
      <c r="I73" s="16">
        <f>IF(B73="","",SUMIFS(Pagos!$G:$G,Pagos!$B:$B,A73))</f>
        <v/>
      </c>
      <c r="J73" s="17">
        <f>IF(B73="","",IF(COUNTIF(Pagos!$B:$B,A73)=0,"",_xlfn.MAXIFS(Pagos!$D:$D,Pagos!$B:$B,A73)))</f>
        <v/>
      </c>
      <c r="K73" s="11">
        <f>IF(B73="","",IF(J73="",TODAY()-C73,TODAY()-J73))</f>
        <v/>
      </c>
      <c r="L73" s="11">
        <f>IF(B73="","",IF(F73="Diario",1,IF(F73="Semanal",7,IF(F73="Quincenal",15,IF(F73="Mensual",30,30))))+Resumen!$B$2)</f>
        <v/>
      </c>
      <c r="M73" s="11">
        <f>IF(B73="","",IF(G73&lt;=0,"Pagado",IF(K73&gt;L73,"Atrasado","Al dia")))</f>
        <v/>
      </c>
    </row>
    <row r="74">
      <c r="A74" s="11">
        <f>IF(B74="","","P"&amp;TEXT(ROW()-1,"000"))</f>
        <v/>
      </c>
      <c r="B74" s="12" t="n"/>
      <c r="C74" s="13" t="n"/>
      <c r="D74" s="14" t="n"/>
      <c r="E74" s="15" t="n"/>
      <c r="F74" s="12" t="n"/>
      <c r="G74" s="16">
        <f>IF(B74="","",D74-SUMIFS(Pagos!$H:$H,Pagos!$B:$B,A74))</f>
        <v/>
      </c>
      <c r="H74" s="16">
        <f>IF(B74="","",SUMIFS(Pagos!$E:$E,Pagos!$B:$B,A74))</f>
        <v/>
      </c>
      <c r="I74" s="16">
        <f>IF(B74="","",SUMIFS(Pagos!$G:$G,Pagos!$B:$B,A74))</f>
        <v/>
      </c>
      <c r="J74" s="17">
        <f>IF(B74="","",IF(COUNTIF(Pagos!$B:$B,A74)=0,"",_xlfn.MAXIFS(Pagos!$D:$D,Pagos!$B:$B,A74)))</f>
        <v/>
      </c>
      <c r="K74" s="11">
        <f>IF(B74="","",IF(J74="",TODAY()-C74,TODAY()-J74))</f>
        <v/>
      </c>
      <c r="L74" s="11">
        <f>IF(B74="","",IF(F74="Diario",1,IF(F74="Semanal",7,IF(F74="Quincenal",15,IF(F74="Mensual",30,30))))+Resumen!$B$2)</f>
        <v/>
      </c>
      <c r="M74" s="11">
        <f>IF(B74="","",IF(G74&lt;=0,"Pagado",IF(K74&gt;L74,"Atrasado","Al dia")))</f>
        <v/>
      </c>
    </row>
    <row r="75">
      <c r="A75" s="11">
        <f>IF(B75="","","P"&amp;TEXT(ROW()-1,"000"))</f>
        <v/>
      </c>
      <c r="B75" s="12" t="n"/>
      <c r="C75" s="13" t="n"/>
      <c r="D75" s="14" t="n"/>
      <c r="E75" s="15" t="n"/>
      <c r="F75" s="12" t="n"/>
      <c r="G75" s="16">
        <f>IF(B75="","",D75-SUMIFS(Pagos!$H:$H,Pagos!$B:$B,A75))</f>
        <v/>
      </c>
      <c r="H75" s="16">
        <f>IF(B75="","",SUMIFS(Pagos!$E:$E,Pagos!$B:$B,A75))</f>
        <v/>
      </c>
      <c r="I75" s="16">
        <f>IF(B75="","",SUMIFS(Pagos!$G:$G,Pagos!$B:$B,A75))</f>
        <v/>
      </c>
      <c r="J75" s="17">
        <f>IF(B75="","",IF(COUNTIF(Pagos!$B:$B,A75)=0,"",_xlfn.MAXIFS(Pagos!$D:$D,Pagos!$B:$B,A75)))</f>
        <v/>
      </c>
      <c r="K75" s="11">
        <f>IF(B75="","",IF(J75="",TODAY()-C75,TODAY()-J75))</f>
        <v/>
      </c>
      <c r="L75" s="11">
        <f>IF(B75="","",IF(F75="Diario",1,IF(F75="Semanal",7,IF(F75="Quincenal",15,IF(F75="Mensual",30,30))))+Resumen!$B$2)</f>
        <v/>
      </c>
      <c r="M75" s="11">
        <f>IF(B75="","",IF(G75&lt;=0,"Pagado",IF(K75&gt;L75,"Atrasado","Al dia")))</f>
        <v/>
      </c>
    </row>
    <row r="76">
      <c r="A76" s="11">
        <f>IF(B76="","","P"&amp;TEXT(ROW()-1,"000"))</f>
        <v/>
      </c>
      <c r="B76" s="12" t="n"/>
      <c r="C76" s="13" t="n"/>
      <c r="D76" s="14" t="n"/>
      <c r="E76" s="15" t="n"/>
      <c r="F76" s="12" t="n"/>
      <c r="G76" s="16">
        <f>IF(B76="","",D76-SUMIFS(Pagos!$H:$H,Pagos!$B:$B,A76))</f>
        <v/>
      </c>
      <c r="H76" s="16">
        <f>IF(B76="","",SUMIFS(Pagos!$E:$E,Pagos!$B:$B,A76))</f>
        <v/>
      </c>
      <c r="I76" s="16">
        <f>IF(B76="","",SUMIFS(Pagos!$G:$G,Pagos!$B:$B,A76))</f>
        <v/>
      </c>
      <c r="J76" s="17">
        <f>IF(B76="","",IF(COUNTIF(Pagos!$B:$B,A76)=0,"",_xlfn.MAXIFS(Pagos!$D:$D,Pagos!$B:$B,A76)))</f>
        <v/>
      </c>
      <c r="K76" s="11">
        <f>IF(B76="","",IF(J76="",TODAY()-C76,TODAY()-J76))</f>
        <v/>
      </c>
      <c r="L76" s="11">
        <f>IF(B76="","",IF(F76="Diario",1,IF(F76="Semanal",7,IF(F76="Quincenal",15,IF(F76="Mensual",30,30))))+Resumen!$B$2)</f>
        <v/>
      </c>
      <c r="M76" s="11">
        <f>IF(B76="","",IF(G76&lt;=0,"Pagado",IF(K76&gt;L76,"Atrasado","Al dia")))</f>
        <v/>
      </c>
    </row>
    <row r="77">
      <c r="A77" s="11">
        <f>IF(B77="","","P"&amp;TEXT(ROW()-1,"000"))</f>
        <v/>
      </c>
      <c r="B77" s="12" t="n"/>
      <c r="C77" s="13" t="n"/>
      <c r="D77" s="14" t="n"/>
      <c r="E77" s="15" t="n"/>
      <c r="F77" s="12" t="n"/>
      <c r="G77" s="16">
        <f>IF(B77="","",D77-SUMIFS(Pagos!$H:$H,Pagos!$B:$B,A77))</f>
        <v/>
      </c>
      <c r="H77" s="16">
        <f>IF(B77="","",SUMIFS(Pagos!$E:$E,Pagos!$B:$B,A77))</f>
        <v/>
      </c>
      <c r="I77" s="16">
        <f>IF(B77="","",SUMIFS(Pagos!$G:$G,Pagos!$B:$B,A77))</f>
        <v/>
      </c>
      <c r="J77" s="17">
        <f>IF(B77="","",IF(COUNTIF(Pagos!$B:$B,A77)=0,"",_xlfn.MAXIFS(Pagos!$D:$D,Pagos!$B:$B,A77)))</f>
        <v/>
      </c>
      <c r="K77" s="11">
        <f>IF(B77="","",IF(J77="",TODAY()-C77,TODAY()-J77))</f>
        <v/>
      </c>
      <c r="L77" s="11">
        <f>IF(B77="","",IF(F77="Diario",1,IF(F77="Semanal",7,IF(F77="Quincenal",15,IF(F77="Mensual",30,30))))+Resumen!$B$2)</f>
        <v/>
      </c>
      <c r="M77" s="11">
        <f>IF(B77="","",IF(G77&lt;=0,"Pagado",IF(K77&gt;L77,"Atrasado","Al dia")))</f>
        <v/>
      </c>
    </row>
    <row r="78">
      <c r="A78" s="11">
        <f>IF(B78="","","P"&amp;TEXT(ROW()-1,"000"))</f>
        <v/>
      </c>
      <c r="B78" s="12" t="n"/>
      <c r="C78" s="13" t="n"/>
      <c r="D78" s="14" t="n"/>
      <c r="E78" s="15" t="n"/>
      <c r="F78" s="12" t="n"/>
      <c r="G78" s="16">
        <f>IF(B78="","",D78-SUMIFS(Pagos!$H:$H,Pagos!$B:$B,A78))</f>
        <v/>
      </c>
      <c r="H78" s="16">
        <f>IF(B78="","",SUMIFS(Pagos!$E:$E,Pagos!$B:$B,A78))</f>
        <v/>
      </c>
      <c r="I78" s="16">
        <f>IF(B78="","",SUMIFS(Pagos!$G:$G,Pagos!$B:$B,A78))</f>
        <v/>
      </c>
      <c r="J78" s="17">
        <f>IF(B78="","",IF(COUNTIF(Pagos!$B:$B,A78)=0,"",_xlfn.MAXIFS(Pagos!$D:$D,Pagos!$B:$B,A78)))</f>
        <v/>
      </c>
      <c r="K78" s="11">
        <f>IF(B78="","",IF(J78="",TODAY()-C78,TODAY()-J78))</f>
        <v/>
      </c>
      <c r="L78" s="11">
        <f>IF(B78="","",IF(F78="Diario",1,IF(F78="Semanal",7,IF(F78="Quincenal",15,IF(F78="Mensual",30,30))))+Resumen!$B$2)</f>
        <v/>
      </c>
      <c r="M78" s="11">
        <f>IF(B78="","",IF(G78&lt;=0,"Pagado",IF(K78&gt;L78,"Atrasado","Al dia")))</f>
        <v/>
      </c>
    </row>
    <row r="79">
      <c r="A79" s="11">
        <f>IF(B79="","","P"&amp;TEXT(ROW()-1,"000"))</f>
        <v/>
      </c>
      <c r="B79" s="12" t="n"/>
      <c r="C79" s="13" t="n"/>
      <c r="D79" s="14" t="n"/>
      <c r="E79" s="15" t="n"/>
      <c r="F79" s="12" t="n"/>
      <c r="G79" s="16">
        <f>IF(B79="","",D79-SUMIFS(Pagos!$H:$H,Pagos!$B:$B,A79))</f>
        <v/>
      </c>
      <c r="H79" s="16">
        <f>IF(B79="","",SUMIFS(Pagos!$E:$E,Pagos!$B:$B,A79))</f>
        <v/>
      </c>
      <c r="I79" s="16">
        <f>IF(B79="","",SUMIFS(Pagos!$G:$G,Pagos!$B:$B,A79))</f>
        <v/>
      </c>
      <c r="J79" s="17">
        <f>IF(B79="","",IF(COUNTIF(Pagos!$B:$B,A79)=0,"",_xlfn.MAXIFS(Pagos!$D:$D,Pagos!$B:$B,A79)))</f>
        <v/>
      </c>
      <c r="K79" s="11">
        <f>IF(B79="","",IF(J79="",TODAY()-C79,TODAY()-J79))</f>
        <v/>
      </c>
      <c r="L79" s="11">
        <f>IF(B79="","",IF(F79="Diario",1,IF(F79="Semanal",7,IF(F79="Quincenal",15,IF(F79="Mensual",30,30))))+Resumen!$B$2)</f>
        <v/>
      </c>
      <c r="M79" s="11">
        <f>IF(B79="","",IF(G79&lt;=0,"Pagado",IF(K79&gt;L79,"Atrasado","Al dia")))</f>
        <v/>
      </c>
    </row>
    <row r="80">
      <c r="A80" s="11">
        <f>IF(B80="","","P"&amp;TEXT(ROW()-1,"000"))</f>
        <v/>
      </c>
      <c r="B80" s="12" t="n"/>
      <c r="C80" s="13" t="n"/>
      <c r="D80" s="14" t="n"/>
      <c r="E80" s="15" t="n"/>
      <c r="F80" s="12" t="n"/>
      <c r="G80" s="16">
        <f>IF(B80="","",D80-SUMIFS(Pagos!$H:$H,Pagos!$B:$B,A80))</f>
        <v/>
      </c>
      <c r="H80" s="16">
        <f>IF(B80="","",SUMIFS(Pagos!$E:$E,Pagos!$B:$B,A80))</f>
        <v/>
      </c>
      <c r="I80" s="16">
        <f>IF(B80="","",SUMIFS(Pagos!$G:$G,Pagos!$B:$B,A80))</f>
        <v/>
      </c>
      <c r="J80" s="17">
        <f>IF(B80="","",IF(COUNTIF(Pagos!$B:$B,A80)=0,"",_xlfn.MAXIFS(Pagos!$D:$D,Pagos!$B:$B,A80)))</f>
        <v/>
      </c>
      <c r="K80" s="11">
        <f>IF(B80="","",IF(J80="",TODAY()-C80,TODAY()-J80))</f>
        <v/>
      </c>
      <c r="L80" s="11">
        <f>IF(B80="","",IF(F80="Diario",1,IF(F80="Semanal",7,IF(F80="Quincenal",15,IF(F80="Mensual",30,30))))+Resumen!$B$2)</f>
        <v/>
      </c>
      <c r="M80" s="11">
        <f>IF(B80="","",IF(G80&lt;=0,"Pagado",IF(K80&gt;L80,"Atrasado","Al dia")))</f>
        <v/>
      </c>
    </row>
    <row r="81">
      <c r="A81" s="11">
        <f>IF(B81="","","P"&amp;TEXT(ROW()-1,"000"))</f>
        <v/>
      </c>
      <c r="B81" s="12" t="n"/>
      <c r="C81" s="13" t="n"/>
      <c r="D81" s="14" t="n"/>
      <c r="E81" s="15" t="n"/>
      <c r="F81" s="12" t="n"/>
      <c r="G81" s="16">
        <f>IF(B81="","",D81-SUMIFS(Pagos!$H:$H,Pagos!$B:$B,A81))</f>
        <v/>
      </c>
      <c r="H81" s="16">
        <f>IF(B81="","",SUMIFS(Pagos!$E:$E,Pagos!$B:$B,A81))</f>
        <v/>
      </c>
      <c r="I81" s="16">
        <f>IF(B81="","",SUMIFS(Pagos!$G:$G,Pagos!$B:$B,A81))</f>
        <v/>
      </c>
      <c r="J81" s="17">
        <f>IF(B81="","",IF(COUNTIF(Pagos!$B:$B,A81)=0,"",_xlfn.MAXIFS(Pagos!$D:$D,Pagos!$B:$B,A81)))</f>
        <v/>
      </c>
      <c r="K81" s="11">
        <f>IF(B81="","",IF(J81="",TODAY()-C81,TODAY()-J81))</f>
        <v/>
      </c>
      <c r="L81" s="11">
        <f>IF(B81="","",IF(F81="Diario",1,IF(F81="Semanal",7,IF(F81="Quincenal",15,IF(F81="Mensual",30,30))))+Resumen!$B$2)</f>
        <v/>
      </c>
      <c r="M81" s="11">
        <f>IF(B81="","",IF(G81&lt;=0,"Pagado",IF(K81&gt;L81,"Atrasado","Al dia")))</f>
        <v/>
      </c>
    </row>
    <row r="82">
      <c r="A82" s="11">
        <f>IF(B82="","","P"&amp;TEXT(ROW()-1,"000"))</f>
        <v/>
      </c>
      <c r="B82" s="12" t="n"/>
      <c r="C82" s="13" t="n"/>
      <c r="D82" s="14" t="n"/>
      <c r="E82" s="15" t="n"/>
      <c r="F82" s="12" t="n"/>
      <c r="G82" s="16">
        <f>IF(B82="","",D82-SUMIFS(Pagos!$H:$H,Pagos!$B:$B,A82))</f>
        <v/>
      </c>
      <c r="H82" s="16">
        <f>IF(B82="","",SUMIFS(Pagos!$E:$E,Pagos!$B:$B,A82))</f>
        <v/>
      </c>
      <c r="I82" s="16">
        <f>IF(B82="","",SUMIFS(Pagos!$G:$G,Pagos!$B:$B,A82))</f>
        <v/>
      </c>
      <c r="J82" s="17">
        <f>IF(B82="","",IF(COUNTIF(Pagos!$B:$B,A82)=0,"",_xlfn.MAXIFS(Pagos!$D:$D,Pagos!$B:$B,A82)))</f>
        <v/>
      </c>
      <c r="K82" s="11">
        <f>IF(B82="","",IF(J82="",TODAY()-C82,TODAY()-J82))</f>
        <v/>
      </c>
      <c r="L82" s="11">
        <f>IF(B82="","",IF(F82="Diario",1,IF(F82="Semanal",7,IF(F82="Quincenal",15,IF(F82="Mensual",30,30))))+Resumen!$B$2)</f>
        <v/>
      </c>
      <c r="M82" s="11">
        <f>IF(B82="","",IF(G82&lt;=0,"Pagado",IF(K82&gt;L82,"Atrasado","Al dia")))</f>
        <v/>
      </c>
    </row>
    <row r="83">
      <c r="A83" s="11">
        <f>IF(B83="","","P"&amp;TEXT(ROW()-1,"000"))</f>
        <v/>
      </c>
      <c r="B83" s="12" t="n"/>
      <c r="C83" s="13" t="n"/>
      <c r="D83" s="14" t="n"/>
      <c r="E83" s="15" t="n"/>
      <c r="F83" s="12" t="n"/>
      <c r="G83" s="16">
        <f>IF(B83="","",D83-SUMIFS(Pagos!$H:$H,Pagos!$B:$B,A83))</f>
        <v/>
      </c>
      <c r="H83" s="16">
        <f>IF(B83="","",SUMIFS(Pagos!$E:$E,Pagos!$B:$B,A83))</f>
        <v/>
      </c>
      <c r="I83" s="16">
        <f>IF(B83="","",SUMIFS(Pagos!$G:$G,Pagos!$B:$B,A83))</f>
        <v/>
      </c>
      <c r="J83" s="17">
        <f>IF(B83="","",IF(COUNTIF(Pagos!$B:$B,A83)=0,"",_xlfn.MAXIFS(Pagos!$D:$D,Pagos!$B:$B,A83)))</f>
        <v/>
      </c>
      <c r="K83" s="11">
        <f>IF(B83="","",IF(J83="",TODAY()-C83,TODAY()-J83))</f>
        <v/>
      </c>
      <c r="L83" s="11">
        <f>IF(B83="","",IF(F83="Diario",1,IF(F83="Semanal",7,IF(F83="Quincenal",15,IF(F83="Mensual",30,30))))+Resumen!$B$2)</f>
        <v/>
      </c>
      <c r="M83" s="11">
        <f>IF(B83="","",IF(G83&lt;=0,"Pagado",IF(K83&gt;L83,"Atrasado","Al dia")))</f>
        <v/>
      </c>
    </row>
    <row r="84">
      <c r="A84" s="11">
        <f>IF(B84="","","P"&amp;TEXT(ROW()-1,"000"))</f>
        <v/>
      </c>
      <c r="B84" s="12" t="n"/>
      <c r="C84" s="13" t="n"/>
      <c r="D84" s="14" t="n"/>
      <c r="E84" s="15" t="n"/>
      <c r="F84" s="12" t="n"/>
      <c r="G84" s="16">
        <f>IF(B84="","",D84-SUMIFS(Pagos!$H:$H,Pagos!$B:$B,A84))</f>
        <v/>
      </c>
      <c r="H84" s="16">
        <f>IF(B84="","",SUMIFS(Pagos!$E:$E,Pagos!$B:$B,A84))</f>
        <v/>
      </c>
      <c r="I84" s="16">
        <f>IF(B84="","",SUMIFS(Pagos!$G:$G,Pagos!$B:$B,A84))</f>
        <v/>
      </c>
      <c r="J84" s="17">
        <f>IF(B84="","",IF(COUNTIF(Pagos!$B:$B,A84)=0,"",_xlfn.MAXIFS(Pagos!$D:$D,Pagos!$B:$B,A84)))</f>
        <v/>
      </c>
      <c r="K84" s="11">
        <f>IF(B84="","",IF(J84="",TODAY()-C84,TODAY()-J84))</f>
        <v/>
      </c>
      <c r="L84" s="11">
        <f>IF(B84="","",IF(F84="Diario",1,IF(F84="Semanal",7,IF(F84="Quincenal",15,IF(F84="Mensual",30,30))))+Resumen!$B$2)</f>
        <v/>
      </c>
      <c r="M84" s="11">
        <f>IF(B84="","",IF(G84&lt;=0,"Pagado",IF(K84&gt;L84,"Atrasado","Al dia")))</f>
        <v/>
      </c>
    </row>
    <row r="85">
      <c r="A85" s="11">
        <f>IF(B85="","","P"&amp;TEXT(ROW()-1,"000"))</f>
        <v/>
      </c>
      <c r="B85" s="12" t="n"/>
      <c r="C85" s="13" t="n"/>
      <c r="D85" s="14" t="n"/>
      <c r="E85" s="15" t="n"/>
      <c r="F85" s="12" t="n"/>
      <c r="G85" s="16">
        <f>IF(B85="","",D85-SUMIFS(Pagos!$H:$H,Pagos!$B:$B,A85))</f>
        <v/>
      </c>
      <c r="H85" s="16">
        <f>IF(B85="","",SUMIFS(Pagos!$E:$E,Pagos!$B:$B,A85))</f>
        <v/>
      </c>
      <c r="I85" s="16">
        <f>IF(B85="","",SUMIFS(Pagos!$G:$G,Pagos!$B:$B,A85))</f>
        <v/>
      </c>
      <c r="J85" s="17">
        <f>IF(B85="","",IF(COUNTIF(Pagos!$B:$B,A85)=0,"",_xlfn.MAXIFS(Pagos!$D:$D,Pagos!$B:$B,A85)))</f>
        <v/>
      </c>
      <c r="K85" s="11">
        <f>IF(B85="","",IF(J85="",TODAY()-C85,TODAY()-J85))</f>
        <v/>
      </c>
      <c r="L85" s="11">
        <f>IF(B85="","",IF(F85="Diario",1,IF(F85="Semanal",7,IF(F85="Quincenal",15,IF(F85="Mensual",30,30))))+Resumen!$B$2)</f>
        <v/>
      </c>
      <c r="M85" s="11">
        <f>IF(B85="","",IF(G85&lt;=0,"Pagado",IF(K85&gt;L85,"Atrasado","Al dia")))</f>
        <v/>
      </c>
    </row>
    <row r="86">
      <c r="A86" s="11">
        <f>IF(B86="","","P"&amp;TEXT(ROW()-1,"000"))</f>
        <v/>
      </c>
      <c r="B86" s="12" t="n"/>
      <c r="C86" s="13" t="n"/>
      <c r="D86" s="14" t="n"/>
      <c r="E86" s="15" t="n"/>
      <c r="F86" s="12" t="n"/>
      <c r="G86" s="16">
        <f>IF(B86="","",D86-SUMIFS(Pagos!$H:$H,Pagos!$B:$B,A86))</f>
        <v/>
      </c>
      <c r="H86" s="16">
        <f>IF(B86="","",SUMIFS(Pagos!$E:$E,Pagos!$B:$B,A86))</f>
        <v/>
      </c>
      <c r="I86" s="16">
        <f>IF(B86="","",SUMIFS(Pagos!$G:$G,Pagos!$B:$B,A86))</f>
        <v/>
      </c>
      <c r="J86" s="17">
        <f>IF(B86="","",IF(COUNTIF(Pagos!$B:$B,A86)=0,"",_xlfn.MAXIFS(Pagos!$D:$D,Pagos!$B:$B,A86)))</f>
        <v/>
      </c>
      <c r="K86" s="11">
        <f>IF(B86="","",IF(J86="",TODAY()-C86,TODAY()-J86))</f>
        <v/>
      </c>
      <c r="L86" s="11">
        <f>IF(B86="","",IF(F86="Diario",1,IF(F86="Semanal",7,IF(F86="Quincenal",15,IF(F86="Mensual",30,30))))+Resumen!$B$2)</f>
        <v/>
      </c>
      <c r="M86" s="11">
        <f>IF(B86="","",IF(G86&lt;=0,"Pagado",IF(K86&gt;L86,"Atrasado","Al dia")))</f>
        <v/>
      </c>
    </row>
    <row r="87">
      <c r="A87" s="11">
        <f>IF(B87="","","P"&amp;TEXT(ROW()-1,"000"))</f>
        <v/>
      </c>
      <c r="B87" s="12" t="n"/>
      <c r="C87" s="13" t="n"/>
      <c r="D87" s="14" t="n"/>
      <c r="E87" s="15" t="n"/>
      <c r="F87" s="12" t="n"/>
      <c r="G87" s="16">
        <f>IF(B87="","",D87-SUMIFS(Pagos!$H:$H,Pagos!$B:$B,A87))</f>
        <v/>
      </c>
      <c r="H87" s="16">
        <f>IF(B87="","",SUMIFS(Pagos!$E:$E,Pagos!$B:$B,A87))</f>
        <v/>
      </c>
      <c r="I87" s="16">
        <f>IF(B87="","",SUMIFS(Pagos!$G:$G,Pagos!$B:$B,A87))</f>
        <v/>
      </c>
      <c r="J87" s="17">
        <f>IF(B87="","",IF(COUNTIF(Pagos!$B:$B,A87)=0,"",_xlfn.MAXIFS(Pagos!$D:$D,Pagos!$B:$B,A87)))</f>
        <v/>
      </c>
      <c r="K87" s="11">
        <f>IF(B87="","",IF(J87="",TODAY()-C87,TODAY()-J87))</f>
        <v/>
      </c>
      <c r="L87" s="11">
        <f>IF(B87="","",IF(F87="Diario",1,IF(F87="Semanal",7,IF(F87="Quincenal",15,IF(F87="Mensual",30,30))))+Resumen!$B$2)</f>
        <v/>
      </c>
      <c r="M87" s="11">
        <f>IF(B87="","",IF(G87&lt;=0,"Pagado",IF(K87&gt;L87,"Atrasado","Al dia")))</f>
        <v/>
      </c>
    </row>
    <row r="88">
      <c r="A88" s="11">
        <f>IF(B88="","","P"&amp;TEXT(ROW()-1,"000"))</f>
        <v/>
      </c>
      <c r="B88" s="12" t="n"/>
      <c r="C88" s="13" t="n"/>
      <c r="D88" s="14" t="n"/>
      <c r="E88" s="15" t="n"/>
      <c r="F88" s="12" t="n"/>
      <c r="G88" s="16">
        <f>IF(B88="","",D88-SUMIFS(Pagos!$H:$H,Pagos!$B:$B,A88))</f>
        <v/>
      </c>
      <c r="H88" s="16">
        <f>IF(B88="","",SUMIFS(Pagos!$E:$E,Pagos!$B:$B,A88))</f>
        <v/>
      </c>
      <c r="I88" s="16">
        <f>IF(B88="","",SUMIFS(Pagos!$G:$G,Pagos!$B:$B,A88))</f>
        <v/>
      </c>
      <c r="J88" s="17">
        <f>IF(B88="","",IF(COUNTIF(Pagos!$B:$B,A88)=0,"",_xlfn.MAXIFS(Pagos!$D:$D,Pagos!$B:$B,A88)))</f>
        <v/>
      </c>
      <c r="K88" s="11">
        <f>IF(B88="","",IF(J88="",TODAY()-C88,TODAY()-J88))</f>
        <v/>
      </c>
      <c r="L88" s="11">
        <f>IF(B88="","",IF(F88="Diario",1,IF(F88="Semanal",7,IF(F88="Quincenal",15,IF(F88="Mensual",30,30))))+Resumen!$B$2)</f>
        <v/>
      </c>
      <c r="M88" s="11">
        <f>IF(B88="","",IF(G88&lt;=0,"Pagado",IF(K88&gt;L88,"Atrasado","Al dia")))</f>
        <v/>
      </c>
    </row>
    <row r="89">
      <c r="A89" s="11">
        <f>IF(B89="","","P"&amp;TEXT(ROW()-1,"000"))</f>
        <v/>
      </c>
      <c r="B89" s="12" t="n"/>
      <c r="C89" s="13" t="n"/>
      <c r="D89" s="14" t="n"/>
      <c r="E89" s="15" t="n"/>
      <c r="F89" s="12" t="n"/>
      <c r="G89" s="16">
        <f>IF(B89="","",D89-SUMIFS(Pagos!$H:$H,Pagos!$B:$B,A89))</f>
        <v/>
      </c>
      <c r="H89" s="16">
        <f>IF(B89="","",SUMIFS(Pagos!$E:$E,Pagos!$B:$B,A89))</f>
        <v/>
      </c>
      <c r="I89" s="16">
        <f>IF(B89="","",SUMIFS(Pagos!$G:$G,Pagos!$B:$B,A89))</f>
        <v/>
      </c>
      <c r="J89" s="17">
        <f>IF(B89="","",IF(COUNTIF(Pagos!$B:$B,A89)=0,"",_xlfn.MAXIFS(Pagos!$D:$D,Pagos!$B:$B,A89)))</f>
        <v/>
      </c>
      <c r="K89" s="11">
        <f>IF(B89="","",IF(J89="",TODAY()-C89,TODAY()-J89))</f>
        <v/>
      </c>
      <c r="L89" s="11">
        <f>IF(B89="","",IF(F89="Diario",1,IF(F89="Semanal",7,IF(F89="Quincenal",15,IF(F89="Mensual",30,30))))+Resumen!$B$2)</f>
        <v/>
      </c>
      <c r="M89" s="11">
        <f>IF(B89="","",IF(G89&lt;=0,"Pagado",IF(K89&gt;L89,"Atrasado","Al dia")))</f>
        <v/>
      </c>
    </row>
    <row r="90">
      <c r="A90" s="11">
        <f>IF(B90="","","P"&amp;TEXT(ROW()-1,"000"))</f>
        <v/>
      </c>
      <c r="B90" s="12" t="n"/>
      <c r="C90" s="13" t="n"/>
      <c r="D90" s="14" t="n"/>
      <c r="E90" s="15" t="n"/>
      <c r="F90" s="12" t="n"/>
      <c r="G90" s="16">
        <f>IF(B90="","",D90-SUMIFS(Pagos!$H:$H,Pagos!$B:$B,A90))</f>
        <v/>
      </c>
      <c r="H90" s="16">
        <f>IF(B90="","",SUMIFS(Pagos!$E:$E,Pagos!$B:$B,A90))</f>
        <v/>
      </c>
      <c r="I90" s="16">
        <f>IF(B90="","",SUMIFS(Pagos!$G:$G,Pagos!$B:$B,A90))</f>
        <v/>
      </c>
      <c r="J90" s="17">
        <f>IF(B90="","",IF(COUNTIF(Pagos!$B:$B,A90)=0,"",_xlfn.MAXIFS(Pagos!$D:$D,Pagos!$B:$B,A90)))</f>
        <v/>
      </c>
      <c r="K90" s="11">
        <f>IF(B90="","",IF(J90="",TODAY()-C90,TODAY()-J90))</f>
        <v/>
      </c>
      <c r="L90" s="11">
        <f>IF(B90="","",IF(F90="Diario",1,IF(F90="Semanal",7,IF(F90="Quincenal",15,IF(F90="Mensual",30,30))))+Resumen!$B$2)</f>
        <v/>
      </c>
      <c r="M90" s="11">
        <f>IF(B90="","",IF(G90&lt;=0,"Pagado",IF(K90&gt;L90,"Atrasado","Al dia")))</f>
        <v/>
      </c>
    </row>
    <row r="91">
      <c r="A91" s="11">
        <f>IF(B91="","","P"&amp;TEXT(ROW()-1,"000"))</f>
        <v/>
      </c>
      <c r="B91" s="12" t="n"/>
      <c r="C91" s="13" t="n"/>
      <c r="D91" s="14" t="n"/>
      <c r="E91" s="15" t="n"/>
      <c r="F91" s="12" t="n"/>
      <c r="G91" s="16">
        <f>IF(B91="","",D91-SUMIFS(Pagos!$H:$H,Pagos!$B:$B,A91))</f>
        <v/>
      </c>
      <c r="H91" s="16">
        <f>IF(B91="","",SUMIFS(Pagos!$E:$E,Pagos!$B:$B,A91))</f>
        <v/>
      </c>
      <c r="I91" s="16">
        <f>IF(B91="","",SUMIFS(Pagos!$G:$G,Pagos!$B:$B,A91))</f>
        <v/>
      </c>
      <c r="J91" s="17">
        <f>IF(B91="","",IF(COUNTIF(Pagos!$B:$B,A91)=0,"",_xlfn.MAXIFS(Pagos!$D:$D,Pagos!$B:$B,A91)))</f>
        <v/>
      </c>
      <c r="K91" s="11">
        <f>IF(B91="","",IF(J91="",TODAY()-C91,TODAY()-J91))</f>
        <v/>
      </c>
      <c r="L91" s="11">
        <f>IF(B91="","",IF(F91="Diario",1,IF(F91="Semanal",7,IF(F91="Quincenal",15,IF(F91="Mensual",30,30))))+Resumen!$B$2)</f>
        <v/>
      </c>
      <c r="M91" s="11">
        <f>IF(B91="","",IF(G91&lt;=0,"Pagado",IF(K91&gt;L91,"Atrasado","Al dia")))</f>
        <v/>
      </c>
    </row>
    <row r="92">
      <c r="A92" s="11">
        <f>IF(B92="","","P"&amp;TEXT(ROW()-1,"000"))</f>
        <v/>
      </c>
      <c r="B92" s="12" t="n"/>
      <c r="C92" s="13" t="n"/>
      <c r="D92" s="14" t="n"/>
      <c r="E92" s="15" t="n"/>
      <c r="F92" s="12" t="n"/>
      <c r="G92" s="16">
        <f>IF(B92="","",D92-SUMIFS(Pagos!$H:$H,Pagos!$B:$B,A92))</f>
        <v/>
      </c>
      <c r="H92" s="16">
        <f>IF(B92="","",SUMIFS(Pagos!$E:$E,Pagos!$B:$B,A92))</f>
        <v/>
      </c>
      <c r="I92" s="16">
        <f>IF(B92="","",SUMIFS(Pagos!$G:$G,Pagos!$B:$B,A92))</f>
        <v/>
      </c>
      <c r="J92" s="17">
        <f>IF(B92="","",IF(COUNTIF(Pagos!$B:$B,A92)=0,"",_xlfn.MAXIFS(Pagos!$D:$D,Pagos!$B:$B,A92)))</f>
        <v/>
      </c>
      <c r="K92" s="11">
        <f>IF(B92="","",IF(J92="",TODAY()-C92,TODAY()-J92))</f>
        <v/>
      </c>
      <c r="L92" s="11">
        <f>IF(B92="","",IF(F92="Diario",1,IF(F92="Semanal",7,IF(F92="Quincenal",15,IF(F92="Mensual",30,30))))+Resumen!$B$2)</f>
        <v/>
      </c>
      <c r="M92" s="11">
        <f>IF(B92="","",IF(G92&lt;=0,"Pagado",IF(K92&gt;L92,"Atrasado","Al dia")))</f>
        <v/>
      </c>
    </row>
    <row r="93">
      <c r="A93" s="11">
        <f>IF(B93="","","P"&amp;TEXT(ROW()-1,"000"))</f>
        <v/>
      </c>
      <c r="B93" s="12" t="n"/>
      <c r="C93" s="13" t="n"/>
      <c r="D93" s="14" t="n"/>
      <c r="E93" s="15" t="n"/>
      <c r="F93" s="12" t="n"/>
      <c r="G93" s="16">
        <f>IF(B93="","",D93-SUMIFS(Pagos!$H:$H,Pagos!$B:$B,A93))</f>
        <v/>
      </c>
      <c r="H93" s="16">
        <f>IF(B93="","",SUMIFS(Pagos!$E:$E,Pagos!$B:$B,A93))</f>
        <v/>
      </c>
      <c r="I93" s="16">
        <f>IF(B93="","",SUMIFS(Pagos!$G:$G,Pagos!$B:$B,A93))</f>
        <v/>
      </c>
      <c r="J93" s="17">
        <f>IF(B93="","",IF(COUNTIF(Pagos!$B:$B,A93)=0,"",_xlfn.MAXIFS(Pagos!$D:$D,Pagos!$B:$B,A93)))</f>
        <v/>
      </c>
      <c r="K93" s="11">
        <f>IF(B93="","",IF(J93="",TODAY()-C93,TODAY()-J93))</f>
        <v/>
      </c>
      <c r="L93" s="11">
        <f>IF(B93="","",IF(F93="Diario",1,IF(F93="Semanal",7,IF(F93="Quincenal",15,IF(F93="Mensual",30,30))))+Resumen!$B$2)</f>
        <v/>
      </c>
      <c r="M93" s="11">
        <f>IF(B93="","",IF(G93&lt;=0,"Pagado",IF(K93&gt;L93,"Atrasado","Al dia")))</f>
        <v/>
      </c>
    </row>
    <row r="94">
      <c r="A94" s="11">
        <f>IF(B94="","","P"&amp;TEXT(ROW()-1,"000"))</f>
        <v/>
      </c>
      <c r="B94" s="12" t="n"/>
      <c r="C94" s="13" t="n"/>
      <c r="D94" s="14" t="n"/>
      <c r="E94" s="15" t="n"/>
      <c r="F94" s="12" t="n"/>
      <c r="G94" s="16">
        <f>IF(B94="","",D94-SUMIFS(Pagos!$H:$H,Pagos!$B:$B,A94))</f>
        <v/>
      </c>
      <c r="H94" s="16">
        <f>IF(B94="","",SUMIFS(Pagos!$E:$E,Pagos!$B:$B,A94))</f>
        <v/>
      </c>
      <c r="I94" s="16">
        <f>IF(B94="","",SUMIFS(Pagos!$G:$G,Pagos!$B:$B,A94))</f>
        <v/>
      </c>
      <c r="J94" s="17">
        <f>IF(B94="","",IF(COUNTIF(Pagos!$B:$B,A94)=0,"",_xlfn.MAXIFS(Pagos!$D:$D,Pagos!$B:$B,A94)))</f>
        <v/>
      </c>
      <c r="K94" s="11">
        <f>IF(B94="","",IF(J94="",TODAY()-C94,TODAY()-J94))</f>
        <v/>
      </c>
      <c r="L94" s="11">
        <f>IF(B94="","",IF(F94="Diario",1,IF(F94="Semanal",7,IF(F94="Quincenal",15,IF(F94="Mensual",30,30))))+Resumen!$B$2)</f>
        <v/>
      </c>
      <c r="M94" s="11">
        <f>IF(B94="","",IF(G94&lt;=0,"Pagado",IF(K94&gt;L94,"Atrasado","Al dia")))</f>
        <v/>
      </c>
    </row>
    <row r="95">
      <c r="A95" s="11">
        <f>IF(B95="","","P"&amp;TEXT(ROW()-1,"000"))</f>
        <v/>
      </c>
      <c r="B95" s="12" t="n"/>
      <c r="C95" s="13" t="n"/>
      <c r="D95" s="14" t="n"/>
      <c r="E95" s="15" t="n"/>
      <c r="F95" s="12" t="n"/>
      <c r="G95" s="16">
        <f>IF(B95="","",D95-SUMIFS(Pagos!$H:$H,Pagos!$B:$B,A95))</f>
        <v/>
      </c>
      <c r="H95" s="16">
        <f>IF(B95="","",SUMIFS(Pagos!$E:$E,Pagos!$B:$B,A95))</f>
        <v/>
      </c>
      <c r="I95" s="16">
        <f>IF(B95="","",SUMIFS(Pagos!$G:$G,Pagos!$B:$B,A95))</f>
        <v/>
      </c>
      <c r="J95" s="17">
        <f>IF(B95="","",IF(COUNTIF(Pagos!$B:$B,A95)=0,"",_xlfn.MAXIFS(Pagos!$D:$D,Pagos!$B:$B,A95)))</f>
        <v/>
      </c>
      <c r="K95" s="11">
        <f>IF(B95="","",IF(J95="",TODAY()-C95,TODAY()-J95))</f>
        <v/>
      </c>
      <c r="L95" s="11">
        <f>IF(B95="","",IF(F95="Diario",1,IF(F95="Semanal",7,IF(F95="Quincenal",15,IF(F95="Mensual",30,30))))+Resumen!$B$2)</f>
        <v/>
      </c>
      <c r="M95" s="11">
        <f>IF(B95="","",IF(G95&lt;=0,"Pagado",IF(K95&gt;L95,"Atrasado","Al dia")))</f>
        <v/>
      </c>
    </row>
    <row r="96">
      <c r="A96" s="11">
        <f>IF(B96="","","P"&amp;TEXT(ROW()-1,"000"))</f>
        <v/>
      </c>
      <c r="B96" s="12" t="n"/>
      <c r="C96" s="13" t="n"/>
      <c r="D96" s="14" t="n"/>
      <c r="E96" s="15" t="n"/>
      <c r="F96" s="12" t="n"/>
      <c r="G96" s="16">
        <f>IF(B96="","",D96-SUMIFS(Pagos!$H:$H,Pagos!$B:$B,A96))</f>
        <v/>
      </c>
      <c r="H96" s="16">
        <f>IF(B96="","",SUMIFS(Pagos!$E:$E,Pagos!$B:$B,A96))</f>
        <v/>
      </c>
      <c r="I96" s="16">
        <f>IF(B96="","",SUMIFS(Pagos!$G:$G,Pagos!$B:$B,A96))</f>
        <v/>
      </c>
      <c r="J96" s="17">
        <f>IF(B96="","",IF(COUNTIF(Pagos!$B:$B,A96)=0,"",_xlfn.MAXIFS(Pagos!$D:$D,Pagos!$B:$B,A96)))</f>
        <v/>
      </c>
      <c r="K96" s="11">
        <f>IF(B96="","",IF(J96="",TODAY()-C96,TODAY()-J96))</f>
        <v/>
      </c>
      <c r="L96" s="11">
        <f>IF(B96="","",IF(F96="Diario",1,IF(F96="Semanal",7,IF(F96="Quincenal",15,IF(F96="Mensual",30,30))))+Resumen!$B$2)</f>
        <v/>
      </c>
      <c r="M96" s="11">
        <f>IF(B96="","",IF(G96&lt;=0,"Pagado",IF(K96&gt;L96,"Atrasado","Al dia")))</f>
        <v/>
      </c>
    </row>
    <row r="97">
      <c r="A97" s="11">
        <f>IF(B97="","","P"&amp;TEXT(ROW()-1,"000"))</f>
        <v/>
      </c>
      <c r="B97" s="12" t="n"/>
      <c r="C97" s="13" t="n"/>
      <c r="D97" s="14" t="n"/>
      <c r="E97" s="15" t="n"/>
      <c r="F97" s="12" t="n"/>
      <c r="G97" s="16">
        <f>IF(B97="","",D97-SUMIFS(Pagos!$H:$H,Pagos!$B:$B,A97))</f>
        <v/>
      </c>
      <c r="H97" s="16">
        <f>IF(B97="","",SUMIFS(Pagos!$E:$E,Pagos!$B:$B,A97))</f>
        <v/>
      </c>
      <c r="I97" s="16">
        <f>IF(B97="","",SUMIFS(Pagos!$G:$G,Pagos!$B:$B,A97))</f>
        <v/>
      </c>
      <c r="J97" s="17">
        <f>IF(B97="","",IF(COUNTIF(Pagos!$B:$B,A97)=0,"",_xlfn.MAXIFS(Pagos!$D:$D,Pagos!$B:$B,A97)))</f>
        <v/>
      </c>
      <c r="K97" s="11">
        <f>IF(B97="","",IF(J97="",TODAY()-C97,TODAY()-J97))</f>
        <v/>
      </c>
      <c r="L97" s="11">
        <f>IF(B97="","",IF(F97="Diario",1,IF(F97="Semanal",7,IF(F97="Quincenal",15,IF(F97="Mensual",30,30))))+Resumen!$B$2)</f>
        <v/>
      </c>
      <c r="M97" s="11">
        <f>IF(B97="","",IF(G97&lt;=0,"Pagado",IF(K97&gt;L97,"Atrasado","Al dia")))</f>
        <v/>
      </c>
    </row>
    <row r="98">
      <c r="A98" s="11">
        <f>IF(B98="","","P"&amp;TEXT(ROW()-1,"000"))</f>
        <v/>
      </c>
      <c r="B98" s="12" t="n"/>
      <c r="C98" s="13" t="n"/>
      <c r="D98" s="14" t="n"/>
      <c r="E98" s="15" t="n"/>
      <c r="F98" s="12" t="n"/>
      <c r="G98" s="16">
        <f>IF(B98="","",D98-SUMIFS(Pagos!$H:$H,Pagos!$B:$B,A98))</f>
        <v/>
      </c>
      <c r="H98" s="16">
        <f>IF(B98="","",SUMIFS(Pagos!$E:$E,Pagos!$B:$B,A98))</f>
        <v/>
      </c>
      <c r="I98" s="16">
        <f>IF(B98="","",SUMIFS(Pagos!$G:$G,Pagos!$B:$B,A98))</f>
        <v/>
      </c>
      <c r="J98" s="17">
        <f>IF(B98="","",IF(COUNTIF(Pagos!$B:$B,A98)=0,"",_xlfn.MAXIFS(Pagos!$D:$D,Pagos!$B:$B,A98)))</f>
        <v/>
      </c>
      <c r="K98" s="11">
        <f>IF(B98="","",IF(J98="",TODAY()-C98,TODAY()-J98))</f>
        <v/>
      </c>
      <c r="L98" s="11">
        <f>IF(B98="","",IF(F98="Diario",1,IF(F98="Semanal",7,IF(F98="Quincenal",15,IF(F98="Mensual",30,30))))+Resumen!$B$2)</f>
        <v/>
      </c>
      <c r="M98" s="11">
        <f>IF(B98="","",IF(G98&lt;=0,"Pagado",IF(K98&gt;L98,"Atrasado","Al dia")))</f>
        <v/>
      </c>
    </row>
    <row r="99">
      <c r="A99" s="11">
        <f>IF(B99="","","P"&amp;TEXT(ROW()-1,"000"))</f>
        <v/>
      </c>
      <c r="B99" s="12" t="n"/>
      <c r="C99" s="13" t="n"/>
      <c r="D99" s="14" t="n"/>
      <c r="E99" s="15" t="n"/>
      <c r="F99" s="12" t="n"/>
      <c r="G99" s="16">
        <f>IF(B99="","",D99-SUMIFS(Pagos!$H:$H,Pagos!$B:$B,A99))</f>
        <v/>
      </c>
      <c r="H99" s="16">
        <f>IF(B99="","",SUMIFS(Pagos!$E:$E,Pagos!$B:$B,A99))</f>
        <v/>
      </c>
      <c r="I99" s="16">
        <f>IF(B99="","",SUMIFS(Pagos!$G:$G,Pagos!$B:$B,A99))</f>
        <v/>
      </c>
      <c r="J99" s="17">
        <f>IF(B99="","",IF(COUNTIF(Pagos!$B:$B,A99)=0,"",_xlfn.MAXIFS(Pagos!$D:$D,Pagos!$B:$B,A99)))</f>
        <v/>
      </c>
      <c r="K99" s="11">
        <f>IF(B99="","",IF(J99="",TODAY()-C99,TODAY()-J99))</f>
        <v/>
      </c>
      <c r="L99" s="11">
        <f>IF(B99="","",IF(F99="Diario",1,IF(F99="Semanal",7,IF(F99="Quincenal",15,IF(F99="Mensual",30,30))))+Resumen!$B$2)</f>
        <v/>
      </c>
      <c r="M99" s="11">
        <f>IF(B99="","",IF(G99&lt;=0,"Pagado",IF(K99&gt;L99,"Atrasado","Al dia")))</f>
        <v/>
      </c>
    </row>
    <row r="100">
      <c r="A100" s="11">
        <f>IF(B100="","","P"&amp;TEXT(ROW()-1,"000"))</f>
        <v/>
      </c>
      <c r="B100" s="12" t="n"/>
      <c r="C100" s="13" t="n"/>
      <c r="D100" s="14" t="n"/>
      <c r="E100" s="15" t="n"/>
      <c r="F100" s="12" t="n"/>
      <c r="G100" s="16">
        <f>IF(B100="","",D100-SUMIFS(Pagos!$H:$H,Pagos!$B:$B,A100))</f>
        <v/>
      </c>
      <c r="H100" s="16">
        <f>IF(B100="","",SUMIFS(Pagos!$E:$E,Pagos!$B:$B,A100))</f>
        <v/>
      </c>
      <c r="I100" s="16">
        <f>IF(B100="","",SUMIFS(Pagos!$G:$G,Pagos!$B:$B,A100))</f>
        <v/>
      </c>
      <c r="J100" s="17">
        <f>IF(B100="","",IF(COUNTIF(Pagos!$B:$B,A100)=0,"",_xlfn.MAXIFS(Pagos!$D:$D,Pagos!$B:$B,A100)))</f>
        <v/>
      </c>
      <c r="K100" s="11">
        <f>IF(B100="","",IF(J100="",TODAY()-C100,TODAY()-J100))</f>
        <v/>
      </c>
      <c r="L100" s="11">
        <f>IF(B100="","",IF(F100="Diario",1,IF(F100="Semanal",7,IF(F100="Quincenal",15,IF(F100="Mensual",30,30))))+Resumen!$B$2)</f>
        <v/>
      </c>
      <c r="M100" s="11">
        <f>IF(B100="","",IF(G100&lt;=0,"Pagado",IF(K100&gt;L100,"Atrasado","Al dia")))</f>
        <v/>
      </c>
    </row>
    <row r="101">
      <c r="A101" s="11">
        <f>IF(B101="","","P"&amp;TEXT(ROW()-1,"000"))</f>
        <v/>
      </c>
      <c r="B101" s="12" t="n"/>
      <c r="C101" s="13" t="n"/>
      <c r="D101" s="14" t="n"/>
      <c r="E101" s="15" t="n"/>
      <c r="F101" s="12" t="n"/>
      <c r="G101" s="16">
        <f>IF(B101="","",D101-SUMIFS(Pagos!$H:$H,Pagos!$B:$B,A101))</f>
        <v/>
      </c>
      <c r="H101" s="16">
        <f>IF(B101="","",SUMIFS(Pagos!$E:$E,Pagos!$B:$B,A101))</f>
        <v/>
      </c>
      <c r="I101" s="16">
        <f>IF(B101="","",SUMIFS(Pagos!$G:$G,Pagos!$B:$B,A101))</f>
        <v/>
      </c>
      <c r="J101" s="17">
        <f>IF(B101="","",IF(COUNTIF(Pagos!$B:$B,A101)=0,"",_xlfn.MAXIFS(Pagos!$D:$D,Pagos!$B:$B,A101)))</f>
        <v/>
      </c>
      <c r="K101" s="11">
        <f>IF(B101="","",IF(J101="",TODAY()-C101,TODAY()-J101))</f>
        <v/>
      </c>
      <c r="L101" s="11">
        <f>IF(B101="","",IF(F101="Diario",1,IF(F101="Semanal",7,IF(F101="Quincenal",15,IF(F101="Mensual",30,30))))+Resumen!$B$2)</f>
        <v/>
      </c>
      <c r="M101" s="11">
        <f>IF(B101="","",IF(G101&lt;=0,"Pagado",IF(K101&gt;L101,"Atrasado","Al dia")))</f>
        <v/>
      </c>
    </row>
    <row r="102">
      <c r="A102" s="11">
        <f>IF(B102="","","P"&amp;TEXT(ROW()-1,"000"))</f>
        <v/>
      </c>
      <c r="B102" s="12" t="n"/>
      <c r="C102" s="13" t="n"/>
      <c r="D102" s="14" t="n"/>
      <c r="E102" s="15" t="n"/>
      <c r="F102" s="12" t="n"/>
      <c r="G102" s="16">
        <f>IF(B102="","",D102-SUMIFS(Pagos!$H:$H,Pagos!$B:$B,A102))</f>
        <v/>
      </c>
      <c r="H102" s="16">
        <f>IF(B102="","",SUMIFS(Pagos!$E:$E,Pagos!$B:$B,A102))</f>
        <v/>
      </c>
      <c r="I102" s="16">
        <f>IF(B102="","",SUMIFS(Pagos!$G:$G,Pagos!$B:$B,A102))</f>
        <v/>
      </c>
      <c r="J102" s="17">
        <f>IF(B102="","",IF(COUNTIF(Pagos!$B:$B,A102)=0,"",_xlfn.MAXIFS(Pagos!$D:$D,Pagos!$B:$B,A102)))</f>
        <v/>
      </c>
      <c r="K102" s="11">
        <f>IF(B102="","",IF(J102="",TODAY()-C102,TODAY()-J102))</f>
        <v/>
      </c>
      <c r="L102" s="11">
        <f>IF(B102="","",IF(F102="Diario",1,IF(F102="Semanal",7,IF(F102="Quincenal",15,IF(F102="Mensual",30,30))))+Resumen!$B$2)</f>
        <v/>
      </c>
      <c r="M102" s="11">
        <f>IF(B102="","",IF(G102&lt;=0,"Pagado",IF(K102&gt;L102,"Atrasado","Al dia")))</f>
        <v/>
      </c>
    </row>
    <row r="103">
      <c r="A103" s="11">
        <f>IF(B103="","","P"&amp;TEXT(ROW()-1,"000"))</f>
        <v/>
      </c>
      <c r="B103" s="12" t="n"/>
      <c r="C103" s="13" t="n"/>
      <c r="D103" s="14" t="n"/>
      <c r="E103" s="15" t="n"/>
      <c r="F103" s="12" t="n"/>
      <c r="G103" s="16">
        <f>IF(B103="","",D103-SUMIFS(Pagos!$H:$H,Pagos!$B:$B,A103))</f>
        <v/>
      </c>
      <c r="H103" s="16">
        <f>IF(B103="","",SUMIFS(Pagos!$E:$E,Pagos!$B:$B,A103))</f>
        <v/>
      </c>
      <c r="I103" s="16">
        <f>IF(B103="","",SUMIFS(Pagos!$G:$G,Pagos!$B:$B,A103))</f>
        <v/>
      </c>
      <c r="J103" s="17">
        <f>IF(B103="","",IF(COUNTIF(Pagos!$B:$B,A103)=0,"",_xlfn.MAXIFS(Pagos!$D:$D,Pagos!$B:$B,A103)))</f>
        <v/>
      </c>
      <c r="K103" s="11">
        <f>IF(B103="","",IF(J103="",TODAY()-C103,TODAY()-J103))</f>
        <v/>
      </c>
      <c r="L103" s="11">
        <f>IF(B103="","",IF(F103="Diario",1,IF(F103="Semanal",7,IF(F103="Quincenal",15,IF(F103="Mensual",30,30))))+Resumen!$B$2)</f>
        <v/>
      </c>
      <c r="M103" s="11">
        <f>IF(B103="","",IF(G103&lt;=0,"Pagado",IF(K103&gt;L103,"Atrasado","Al dia")))</f>
        <v/>
      </c>
    </row>
    <row r="104">
      <c r="A104" s="11">
        <f>IF(B104="","","P"&amp;TEXT(ROW()-1,"000"))</f>
        <v/>
      </c>
      <c r="B104" s="12" t="n"/>
      <c r="C104" s="13" t="n"/>
      <c r="D104" s="14" t="n"/>
      <c r="E104" s="15" t="n"/>
      <c r="F104" s="12" t="n"/>
      <c r="G104" s="16">
        <f>IF(B104="","",D104-SUMIFS(Pagos!$H:$H,Pagos!$B:$B,A104))</f>
        <v/>
      </c>
      <c r="H104" s="16">
        <f>IF(B104="","",SUMIFS(Pagos!$E:$E,Pagos!$B:$B,A104))</f>
        <v/>
      </c>
      <c r="I104" s="16">
        <f>IF(B104="","",SUMIFS(Pagos!$G:$G,Pagos!$B:$B,A104))</f>
        <v/>
      </c>
      <c r="J104" s="17">
        <f>IF(B104="","",IF(COUNTIF(Pagos!$B:$B,A104)=0,"",_xlfn.MAXIFS(Pagos!$D:$D,Pagos!$B:$B,A104)))</f>
        <v/>
      </c>
      <c r="K104" s="11">
        <f>IF(B104="","",IF(J104="",TODAY()-C104,TODAY()-J104))</f>
        <v/>
      </c>
      <c r="L104" s="11">
        <f>IF(B104="","",IF(F104="Diario",1,IF(F104="Semanal",7,IF(F104="Quincenal",15,IF(F104="Mensual",30,30))))+Resumen!$B$2)</f>
        <v/>
      </c>
      <c r="M104" s="11">
        <f>IF(B104="","",IF(G104&lt;=0,"Pagado",IF(K104&gt;L104,"Atrasado","Al dia")))</f>
        <v/>
      </c>
    </row>
    <row r="105">
      <c r="A105" s="11">
        <f>IF(B105="","","P"&amp;TEXT(ROW()-1,"000"))</f>
        <v/>
      </c>
      <c r="B105" s="12" t="n"/>
      <c r="C105" s="13" t="n"/>
      <c r="D105" s="14" t="n"/>
      <c r="E105" s="15" t="n"/>
      <c r="F105" s="12" t="n"/>
      <c r="G105" s="16">
        <f>IF(B105="","",D105-SUMIFS(Pagos!$H:$H,Pagos!$B:$B,A105))</f>
        <v/>
      </c>
      <c r="H105" s="16">
        <f>IF(B105="","",SUMIFS(Pagos!$E:$E,Pagos!$B:$B,A105))</f>
        <v/>
      </c>
      <c r="I105" s="16">
        <f>IF(B105="","",SUMIFS(Pagos!$G:$G,Pagos!$B:$B,A105))</f>
        <v/>
      </c>
      <c r="J105" s="17">
        <f>IF(B105="","",IF(COUNTIF(Pagos!$B:$B,A105)=0,"",_xlfn.MAXIFS(Pagos!$D:$D,Pagos!$B:$B,A105)))</f>
        <v/>
      </c>
      <c r="K105" s="11">
        <f>IF(B105="","",IF(J105="",TODAY()-C105,TODAY()-J105))</f>
        <v/>
      </c>
      <c r="L105" s="11">
        <f>IF(B105="","",IF(F105="Diario",1,IF(F105="Semanal",7,IF(F105="Quincenal",15,IF(F105="Mensual",30,30))))+Resumen!$B$2)</f>
        <v/>
      </c>
      <c r="M105" s="11">
        <f>IF(B105="","",IF(G105&lt;=0,"Pagado",IF(K105&gt;L105,"Atrasado","Al dia")))</f>
        <v/>
      </c>
    </row>
    <row r="106">
      <c r="A106" s="11">
        <f>IF(B106="","","P"&amp;TEXT(ROW()-1,"000"))</f>
        <v/>
      </c>
      <c r="B106" s="12" t="n"/>
      <c r="C106" s="13" t="n"/>
      <c r="D106" s="14" t="n"/>
      <c r="E106" s="15" t="n"/>
      <c r="F106" s="12" t="n"/>
      <c r="G106" s="16">
        <f>IF(B106="","",D106-SUMIFS(Pagos!$H:$H,Pagos!$B:$B,A106))</f>
        <v/>
      </c>
      <c r="H106" s="16">
        <f>IF(B106="","",SUMIFS(Pagos!$E:$E,Pagos!$B:$B,A106))</f>
        <v/>
      </c>
      <c r="I106" s="16">
        <f>IF(B106="","",SUMIFS(Pagos!$G:$G,Pagos!$B:$B,A106))</f>
        <v/>
      </c>
      <c r="J106" s="17">
        <f>IF(B106="","",IF(COUNTIF(Pagos!$B:$B,A106)=0,"",_xlfn.MAXIFS(Pagos!$D:$D,Pagos!$B:$B,A106)))</f>
        <v/>
      </c>
      <c r="K106" s="11">
        <f>IF(B106="","",IF(J106="",TODAY()-C106,TODAY()-J106))</f>
        <v/>
      </c>
      <c r="L106" s="11">
        <f>IF(B106="","",IF(F106="Diario",1,IF(F106="Semanal",7,IF(F106="Quincenal",15,IF(F106="Mensual",30,30))))+Resumen!$B$2)</f>
        <v/>
      </c>
      <c r="M106" s="11">
        <f>IF(B106="","",IF(G106&lt;=0,"Pagado",IF(K106&gt;L106,"Atrasado","Al dia")))</f>
        <v/>
      </c>
    </row>
    <row r="107">
      <c r="A107" s="11">
        <f>IF(B107="","","P"&amp;TEXT(ROW()-1,"000"))</f>
        <v/>
      </c>
      <c r="B107" s="12" t="n"/>
      <c r="C107" s="13" t="n"/>
      <c r="D107" s="14" t="n"/>
      <c r="E107" s="15" t="n"/>
      <c r="F107" s="12" t="n"/>
      <c r="G107" s="16">
        <f>IF(B107="","",D107-SUMIFS(Pagos!$H:$H,Pagos!$B:$B,A107))</f>
        <v/>
      </c>
      <c r="H107" s="16">
        <f>IF(B107="","",SUMIFS(Pagos!$E:$E,Pagos!$B:$B,A107))</f>
        <v/>
      </c>
      <c r="I107" s="16">
        <f>IF(B107="","",SUMIFS(Pagos!$G:$G,Pagos!$B:$B,A107))</f>
        <v/>
      </c>
      <c r="J107" s="17">
        <f>IF(B107="","",IF(COUNTIF(Pagos!$B:$B,A107)=0,"",_xlfn.MAXIFS(Pagos!$D:$D,Pagos!$B:$B,A107)))</f>
        <v/>
      </c>
      <c r="K107" s="11">
        <f>IF(B107="","",IF(J107="",TODAY()-C107,TODAY()-J107))</f>
        <v/>
      </c>
      <c r="L107" s="11">
        <f>IF(B107="","",IF(F107="Diario",1,IF(F107="Semanal",7,IF(F107="Quincenal",15,IF(F107="Mensual",30,30))))+Resumen!$B$2)</f>
        <v/>
      </c>
      <c r="M107" s="11">
        <f>IF(B107="","",IF(G107&lt;=0,"Pagado",IF(K107&gt;L107,"Atrasado","Al dia")))</f>
        <v/>
      </c>
    </row>
    <row r="108">
      <c r="A108" s="11">
        <f>IF(B108="","","P"&amp;TEXT(ROW()-1,"000"))</f>
        <v/>
      </c>
      <c r="B108" s="12" t="n"/>
      <c r="C108" s="13" t="n"/>
      <c r="D108" s="14" t="n"/>
      <c r="E108" s="15" t="n"/>
      <c r="F108" s="12" t="n"/>
      <c r="G108" s="16">
        <f>IF(B108="","",D108-SUMIFS(Pagos!$H:$H,Pagos!$B:$B,A108))</f>
        <v/>
      </c>
      <c r="H108" s="16">
        <f>IF(B108="","",SUMIFS(Pagos!$E:$E,Pagos!$B:$B,A108))</f>
        <v/>
      </c>
      <c r="I108" s="16">
        <f>IF(B108="","",SUMIFS(Pagos!$G:$G,Pagos!$B:$B,A108))</f>
        <v/>
      </c>
      <c r="J108" s="17">
        <f>IF(B108="","",IF(COUNTIF(Pagos!$B:$B,A108)=0,"",_xlfn.MAXIFS(Pagos!$D:$D,Pagos!$B:$B,A108)))</f>
        <v/>
      </c>
      <c r="K108" s="11">
        <f>IF(B108="","",IF(J108="",TODAY()-C108,TODAY()-J108))</f>
        <v/>
      </c>
      <c r="L108" s="11">
        <f>IF(B108="","",IF(F108="Diario",1,IF(F108="Semanal",7,IF(F108="Quincenal",15,IF(F108="Mensual",30,30))))+Resumen!$B$2)</f>
        <v/>
      </c>
      <c r="M108" s="11">
        <f>IF(B108="","",IF(G108&lt;=0,"Pagado",IF(K108&gt;L108,"Atrasado","Al dia")))</f>
        <v/>
      </c>
    </row>
    <row r="109">
      <c r="A109" s="11">
        <f>IF(B109="","","P"&amp;TEXT(ROW()-1,"000"))</f>
        <v/>
      </c>
      <c r="B109" s="12" t="n"/>
      <c r="C109" s="13" t="n"/>
      <c r="D109" s="14" t="n"/>
      <c r="E109" s="15" t="n"/>
      <c r="F109" s="12" t="n"/>
      <c r="G109" s="16">
        <f>IF(B109="","",D109-SUMIFS(Pagos!$H:$H,Pagos!$B:$B,A109))</f>
        <v/>
      </c>
      <c r="H109" s="16">
        <f>IF(B109="","",SUMIFS(Pagos!$E:$E,Pagos!$B:$B,A109))</f>
        <v/>
      </c>
      <c r="I109" s="16">
        <f>IF(B109="","",SUMIFS(Pagos!$G:$G,Pagos!$B:$B,A109))</f>
        <v/>
      </c>
      <c r="J109" s="17">
        <f>IF(B109="","",IF(COUNTIF(Pagos!$B:$B,A109)=0,"",_xlfn.MAXIFS(Pagos!$D:$D,Pagos!$B:$B,A109)))</f>
        <v/>
      </c>
      <c r="K109" s="11">
        <f>IF(B109="","",IF(J109="",TODAY()-C109,TODAY()-J109))</f>
        <v/>
      </c>
      <c r="L109" s="11">
        <f>IF(B109="","",IF(F109="Diario",1,IF(F109="Semanal",7,IF(F109="Quincenal",15,IF(F109="Mensual",30,30))))+Resumen!$B$2)</f>
        <v/>
      </c>
      <c r="M109" s="11">
        <f>IF(B109="","",IF(G109&lt;=0,"Pagado",IF(K109&gt;L109,"Atrasado","Al dia")))</f>
        <v/>
      </c>
    </row>
    <row r="110">
      <c r="A110" s="11">
        <f>IF(B110="","","P"&amp;TEXT(ROW()-1,"000"))</f>
        <v/>
      </c>
      <c r="B110" s="12" t="n"/>
      <c r="C110" s="13" t="n"/>
      <c r="D110" s="14" t="n"/>
      <c r="E110" s="15" t="n"/>
      <c r="F110" s="12" t="n"/>
      <c r="G110" s="16">
        <f>IF(B110="","",D110-SUMIFS(Pagos!$H:$H,Pagos!$B:$B,A110))</f>
        <v/>
      </c>
      <c r="H110" s="16">
        <f>IF(B110="","",SUMIFS(Pagos!$E:$E,Pagos!$B:$B,A110))</f>
        <v/>
      </c>
      <c r="I110" s="16">
        <f>IF(B110="","",SUMIFS(Pagos!$G:$G,Pagos!$B:$B,A110))</f>
        <v/>
      </c>
      <c r="J110" s="17">
        <f>IF(B110="","",IF(COUNTIF(Pagos!$B:$B,A110)=0,"",_xlfn.MAXIFS(Pagos!$D:$D,Pagos!$B:$B,A110)))</f>
        <v/>
      </c>
      <c r="K110" s="11">
        <f>IF(B110="","",IF(J110="",TODAY()-C110,TODAY()-J110))</f>
        <v/>
      </c>
      <c r="L110" s="11">
        <f>IF(B110="","",IF(F110="Diario",1,IF(F110="Semanal",7,IF(F110="Quincenal",15,IF(F110="Mensual",30,30))))+Resumen!$B$2)</f>
        <v/>
      </c>
      <c r="M110" s="11">
        <f>IF(B110="","",IF(G110&lt;=0,"Pagado",IF(K110&gt;L110,"Atrasado","Al dia")))</f>
        <v/>
      </c>
    </row>
    <row r="111">
      <c r="A111" s="11">
        <f>IF(B111="","","P"&amp;TEXT(ROW()-1,"000"))</f>
        <v/>
      </c>
      <c r="B111" s="12" t="n"/>
      <c r="C111" s="13" t="n"/>
      <c r="D111" s="14" t="n"/>
      <c r="E111" s="15" t="n"/>
      <c r="F111" s="12" t="n"/>
      <c r="G111" s="16">
        <f>IF(B111="","",D111-SUMIFS(Pagos!$H:$H,Pagos!$B:$B,A111))</f>
        <v/>
      </c>
      <c r="H111" s="16">
        <f>IF(B111="","",SUMIFS(Pagos!$E:$E,Pagos!$B:$B,A111))</f>
        <v/>
      </c>
      <c r="I111" s="16">
        <f>IF(B111="","",SUMIFS(Pagos!$G:$G,Pagos!$B:$B,A111))</f>
        <v/>
      </c>
      <c r="J111" s="17">
        <f>IF(B111="","",IF(COUNTIF(Pagos!$B:$B,A111)=0,"",_xlfn.MAXIFS(Pagos!$D:$D,Pagos!$B:$B,A111)))</f>
        <v/>
      </c>
      <c r="K111" s="11">
        <f>IF(B111="","",IF(J111="",TODAY()-C111,TODAY()-J111))</f>
        <v/>
      </c>
      <c r="L111" s="11">
        <f>IF(B111="","",IF(F111="Diario",1,IF(F111="Semanal",7,IF(F111="Quincenal",15,IF(F111="Mensual",30,30))))+Resumen!$B$2)</f>
        <v/>
      </c>
      <c r="M111" s="11">
        <f>IF(B111="","",IF(G111&lt;=0,"Pagado",IF(K111&gt;L111,"Atrasado","Al dia")))</f>
        <v/>
      </c>
    </row>
    <row r="112">
      <c r="A112" s="11">
        <f>IF(B112="","","P"&amp;TEXT(ROW()-1,"000"))</f>
        <v/>
      </c>
      <c r="B112" s="12" t="n"/>
      <c r="C112" s="13" t="n"/>
      <c r="D112" s="14" t="n"/>
      <c r="E112" s="15" t="n"/>
      <c r="F112" s="12" t="n"/>
      <c r="G112" s="16">
        <f>IF(B112="","",D112-SUMIFS(Pagos!$H:$H,Pagos!$B:$B,A112))</f>
        <v/>
      </c>
      <c r="H112" s="16">
        <f>IF(B112="","",SUMIFS(Pagos!$E:$E,Pagos!$B:$B,A112))</f>
        <v/>
      </c>
      <c r="I112" s="16">
        <f>IF(B112="","",SUMIFS(Pagos!$G:$G,Pagos!$B:$B,A112))</f>
        <v/>
      </c>
      <c r="J112" s="17">
        <f>IF(B112="","",IF(COUNTIF(Pagos!$B:$B,A112)=0,"",_xlfn.MAXIFS(Pagos!$D:$D,Pagos!$B:$B,A112)))</f>
        <v/>
      </c>
      <c r="K112" s="11">
        <f>IF(B112="","",IF(J112="",TODAY()-C112,TODAY()-J112))</f>
        <v/>
      </c>
      <c r="L112" s="11">
        <f>IF(B112="","",IF(F112="Diario",1,IF(F112="Semanal",7,IF(F112="Quincenal",15,IF(F112="Mensual",30,30))))+Resumen!$B$2)</f>
        <v/>
      </c>
      <c r="M112" s="11">
        <f>IF(B112="","",IF(G112&lt;=0,"Pagado",IF(K112&gt;L112,"Atrasado","Al dia")))</f>
        <v/>
      </c>
    </row>
    <row r="113">
      <c r="A113" s="11">
        <f>IF(B113="","","P"&amp;TEXT(ROW()-1,"000"))</f>
        <v/>
      </c>
      <c r="B113" s="12" t="n"/>
      <c r="C113" s="13" t="n"/>
      <c r="D113" s="14" t="n"/>
      <c r="E113" s="15" t="n"/>
      <c r="F113" s="12" t="n"/>
      <c r="G113" s="16">
        <f>IF(B113="","",D113-SUMIFS(Pagos!$H:$H,Pagos!$B:$B,A113))</f>
        <v/>
      </c>
      <c r="H113" s="16">
        <f>IF(B113="","",SUMIFS(Pagos!$E:$E,Pagos!$B:$B,A113))</f>
        <v/>
      </c>
      <c r="I113" s="16">
        <f>IF(B113="","",SUMIFS(Pagos!$G:$G,Pagos!$B:$B,A113))</f>
        <v/>
      </c>
      <c r="J113" s="17">
        <f>IF(B113="","",IF(COUNTIF(Pagos!$B:$B,A113)=0,"",_xlfn.MAXIFS(Pagos!$D:$D,Pagos!$B:$B,A113)))</f>
        <v/>
      </c>
      <c r="K113" s="11">
        <f>IF(B113="","",IF(J113="",TODAY()-C113,TODAY()-J113))</f>
        <v/>
      </c>
      <c r="L113" s="11">
        <f>IF(B113="","",IF(F113="Diario",1,IF(F113="Semanal",7,IF(F113="Quincenal",15,IF(F113="Mensual",30,30))))+Resumen!$B$2)</f>
        <v/>
      </c>
      <c r="M113" s="11">
        <f>IF(B113="","",IF(G113&lt;=0,"Pagado",IF(K113&gt;L113,"Atrasado","Al dia")))</f>
        <v/>
      </c>
    </row>
    <row r="114">
      <c r="A114" s="11">
        <f>IF(B114="","","P"&amp;TEXT(ROW()-1,"000"))</f>
        <v/>
      </c>
      <c r="B114" s="12" t="n"/>
      <c r="C114" s="13" t="n"/>
      <c r="D114" s="14" t="n"/>
      <c r="E114" s="15" t="n"/>
      <c r="F114" s="12" t="n"/>
      <c r="G114" s="16">
        <f>IF(B114="","",D114-SUMIFS(Pagos!$H:$H,Pagos!$B:$B,A114))</f>
        <v/>
      </c>
      <c r="H114" s="16">
        <f>IF(B114="","",SUMIFS(Pagos!$E:$E,Pagos!$B:$B,A114))</f>
        <v/>
      </c>
      <c r="I114" s="16">
        <f>IF(B114="","",SUMIFS(Pagos!$G:$G,Pagos!$B:$B,A114))</f>
        <v/>
      </c>
      <c r="J114" s="17">
        <f>IF(B114="","",IF(COUNTIF(Pagos!$B:$B,A114)=0,"",_xlfn.MAXIFS(Pagos!$D:$D,Pagos!$B:$B,A114)))</f>
        <v/>
      </c>
      <c r="K114" s="11">
        <f>IF(B114="","",IF(J114="",TODAY()-C114,TODAY()-J114))</f>
        <v/>
      </c>
      <c r="L114" s="11">
        <f>IF(B114="","",IF(F114="Diario",1,IF(F114="Semanal",7,IF(F114="Quincenal",15,IF(F114="Mensual",30,30))))+Resumen!$B$2)</f>
        <v/>
      </c>
      <c r="M114" s="11">
        <f>IF(B114="","",IF(G114&lt;=0,"Pagado",IF(K114&gt;L114,"Atrasado","Al dia")))</f>
        <v/>
      </c>
    </row>
    <row r="115">
      <c r="A115" s="11">
        <f>IF(B115="","","P"&amp;TEXT(ROW()-1,"000"))</f>
        <v/>
      </c>
      <c r="B115" s="12" t="n"/>
      <c r="C115" s="13" t="n"/>
      <c r="D115" s="14" t="n"/>
      <c r="E115" s="15" t="n"/>
      <c r="F115" s="12" t="n"/>
      <c r="G115" s="16">
        <f>IF(B115="","",D115-SUMIFS(Pagos!$H:$H,Pagos!$B:$B,A115))</f>
        <v/>
      </c>
      <c r="H115" s="16">
        <f>IF(B115="","",SUMIFS(Pagos!$E:$E,Pagos!$B:$B,A115))</f>
        <v/>
      </c>
      <c r="I115" s="16">
        <f>IF(B115="","",SUMIFS(Pagos!$G:$G,Pagos!$B:$B,A115))</f>
        <v/>
      </c>
      <c r="J115" s="17">
        <f>IF(B115="","",IF(COUNTIF(Pagos!$B:$B,A115)=0,"",_xlfn.MAXIFS(Pagos!$D:$D,Pagos!$B:$B,A115)))</f>
        <v/>
      </c>
      <c r="K115" s="11">
        <f>IF(B115="","",IF(J115="",TODAY()-C115,TODAY()-J115))</f>
        <v/>
      </c>
      <c r="L115" s="11">
        <f>IF(B115="","",IF(F115="Diario",1,IF(F115="Semanal",7,IF(F115="Quincenal",15,IF(F115="Mensual",30,30))))+Resumen!$B$2)</f>
        <v/>
      </c>
      <c r="M115" s="11">
        <f>IF(B115="","",IF(G115&lt;=0,"Pagado",IF(K115&gt;L115,"Atrasado","Al dia")))</f>
        <v/>
      </c>
    </row>
    <row r="116">
      <c r="A116" s="11">
        <f>IF(B116="","","P"&amp;TEXT(ROW()-1,"000"))</f>
        <v/>
      </c>
      <c r="B116" s="12" t="n"/>
      <c r="C116" s="13" t="n"/>
      <c r="D116" s="14" t="n"/>
      <c r="E116" s="15" t="n"/>
      <c r="F116" s="12" t="n"/>
      <c r="G116" s="16">
        <f>IF(B116="","",D116-SUMIFS(Pagos!$H:$H,Pagos!$B:$B,A116))</f>
        <v/>
      </c>
      <c r="H116" s="16">
        <f>IF(B116="","",SUMIFS(Pagos!$E:$E,Pagos!$B:$B,A116))</f>
        <v/>
      </c>
      <c r="I116" s="16">
        <f>IF(B116="","",SUMIFS(Pagos!$G:$G,Pagos!$B:$B,A116))</f>
        <v/>
      </c>
      <c r="J116" s="17">
        <f>IF(B116="","",IF(COUNTIF(Pagos!$B:$B,A116)=0,"",_xlfn.MAXIFS(Pagos!$D:$D,Pagos!$B:$B,A116)))</f>
        <v/>
      </c>
      <c r="K116" s="11">
        <f>IF(B116="","",IF(J116="",TODAY()-C116,TODAY()-J116))</f>
        <v/>
      </c>
      <c r="L116" s="11">
        <f>IF(B116="","",IF(F116="Diario",1,IF(F116="Semanal",7,IF(F116="Quincenal",15,IF(F116="Mensual",30,30))))+Resumen!$B$2)</f>
        <v/>
      </c>
      <c r="M116" s="11">
        <f>IF(B116="","",IF(G116&lt;=0,"Pagado",IF(K116&gt;L116,"Atrasado","Al dia")))</f>
        <v/>
      </c>
    </row>
    <row r="117">
      <c r="A117" s="11">
        <f>IF(B117="","","P"&amp;TEXT(ROW()-1,"000"))</f>
        <v/>
      </c>
      <c r="B117" s="12" t="n"/>
      <c r="C117" s="13" t="n"/>
      <c r="D117" s="14" t="n"/>
      <c r="E117" s="15" t="n"/>
      <c r="F117" s="12" t="n"/>
      <c r="G117" s="16">
        <f>IF(B117="","",D117-SUMIFS(Pagos!$H:$H,Pagos!$B:$B,A117))</f>
        <v/>
      </c>
      <c r="H117" s="16">
        <f>IF(B117="","",SUMIFS(Pagos!$E:$E,Pagos!$B:$B,A117))</f>
        <v/>
      </c>
      <c r="I117" s="16">
        <f>IF(B117="","",SUMIFS(Pagos!$G:$G,Pagos!$B:$B,A117))</f>
        <v/>
      </c>
      <c r="J117" s="17">
        <f>IF(B117="","",IF(COUNTIF(Pagos!$B:$B,A117)=0,"",_xlfn.MAXIFS(Pagos!$D:$D,Pagos!$B:$B,A117)))</f>
        <v/>
      </c>
      <c r="K117" s="11">
        <f>IF(B117="","",IF(J117="",TODAY()-C117,TODAY()-J117))</f>
        <v/>
      </c>
      <c r="L117" s="11">
        <f>IF(B117="","",IF(F117="Diario",1,IF(F117="Semanal",7,IF(F117="Quincenal",15,IF(F117="Mensual",30,30))))+Resumen!$B$2)</f>
        <v/>
      </c>
      <c r="M117" s="11">
        <f>IF(B117="","",IF(G117&lt;=0,"Pagado",IF(K117&gt;L117,"Atrasado","Al dia")))</f>
        <v/>
      </c>
    </row>
    <row r="118">
      <c r="A118" s="11">
        <f>IF(B118="","","P"&amp;TEXT(ROW()-1,"000"))</f>
        <v/>
      </c>
      <c r="B118" s="12" t="n"/>
      <c r="C118" s="13" t="n"/>
      <c r="D118" s="14" t="n"/>
      <c r="E118" s="15" t="n"/>
      <c r="F118" s="12" t="n"/>
      <c r="G118" s="16">
        <f>IF(B118="","",D118-SUMIFS(Pagos!$H:$H,Pagos!$B:$B,A118))</f>
        <v/>
      </c>
      <c r="H118" s="16">
        <f>IF(B118="","",SUMIFS(Pagos!$E:$E,Pagos!$B:$B,A118))</f>
        <v/>
      </c>
      <c r="I118" s="16">
        <f>IF(B118="","",SUMIFS(Pagos!$G:$G,Pagos!$B:$B,A118))</f>
        <v/>
      </c>
      <c r="J118" s="17">
        <f>IF(B118="","",IF(COUNTIF(Pagos!$B:$B,A118)=0,"",_xlfn.MAXIFS(Pagos!$D:$D,Pagos!$B:$B,A118)))</f>
        <v/>
      </c>
      <c r="K118" s="11">
        <f>IF(B118="","",IF(J118="",TODAY()-C118,TODAY()-J118))</f>
        <v/>
      </c>
      <c r="L118" s="11">
        <f>IF(B118="","",IF(F118="Diario",1,IF(F118="Semanal",7,IF(F118="Quincenal",15,IF(F118="Mensual",30,30))))+Resumen!$B$2)</f>
        <v/>
      </c>
      <c r="M118" s="11">
        <f>IF(B118="","",IF(G118&lt;=0,"Pagado",IF(K118&gt;L118,"Atrasado","Al dia")))</f>
        <v/>
      </c>
    </row>
    <row r="119">
      <c r="A119" s="11">
        <f>IF(B119="","","P"&amp;TEXT(ROW()-1,"000"))</f>
        <v/>
      </c>
      <c r="B119" s="12" t="n"/>
      <c r="C119" s="13" t="n"/>
      <c r="D119" s="14" t="n"/>
      <c r="E119" s="15" t="n"/>
      <c r="F119" s="12" t="n"/>
      <c r="G119" s="16">
        <f>IF(B119="","",D119-SUMIFS(Pagos!$H:$H,Pagos!$B:$B,A119))</f>
        <v/>
      </c>
      <c r="H119" s="16">
        <f>IF(B119="","",SUMIFS(Pagos!$E:$E,Pagos!$B:$B,A119))</f>
        <v/>
      </c>
      <c r="I119" s="16">
        <f>IF(B119="","",SUMIFS(Pagos!$G:$G,Pagos!$B:$B,A119))</f>
        <v/>
      </c>
      <c r="J119" s="17">
        <f>IF(B119="","",IF(COUNTIF(Pagos!$B:$B,A119)=0,"",_xlfn.MAXIFS(Pagos!$D:$D,Pagos!$B:$B,A119)))</f>
        <v/>
      </c>
      <c r="K119" s="11">
        <f>IF(B119="","",IF(J119="",TODAY()-C119,TODAY()-J119))</f>
        <v/>
      </c>
      <c r="L119" s="11">
        <f>IF(B119="","",IF(F119="Diario",1,IF(F119="Semanal",7,IF(F119="Quincenal",15,IF(F119="Mensual",30,30))))+Resumen!$B$2)</f>
        <v/>
      </c>
      <c r="M119" s="11">
        <f>IF(B119="","",IF(G119&lt;=0,"Pagado",IF(K119&gt;L119,"Atrasado","Al dia")))</f>
        <v/>
      </c>
    </row>
    <row r="120">
      <c r="A120" s="11">
        <f>IF(B120="","","P"&amp;TEXT(ROW()-1,"000"))</f>
        <v/>
      </c>
      <c r="B120" s="12" t="n"/>
      <c r="C120" s="13" t="n"/>
      <c r="D120" s="14" t="n"/>
      <c r="E120" s="15" t="n"/>
      <c r="F120" s="12" t="n"/>
      <c r="G120" s="16">
        <f>IF(B120="","",D120-SUMIFS(Pagos!$H:$H,Pagos!$B:$B,A120))</f>
        <v/>
      </c>
      <c r="H120" s="16">
        <f>IF(B120="","",SUMIFS(Pagos!$E:$E,Pagos!$B:$B,A120))</f>
        <v/>
      </c>
      <c r="I120" s="16">
        <f>IF(B120="","",SUMIFS(Pagos!$G:$G,Pagos!$B:$B,A120))</f>
        <v/>
      </c>
      <c r="J120" s="17">
        <f>IF(B120="","",IF(COUNTIF(Pagos!$B:$B,A120)=0,"",_xlfn.MAXIFS(Pagos!$D:$D,Pagos!$B:$B,A120)))</f>
        <v/>
      </c>
      <c r="K120" s="11">
        <f>IF(B120="","",IF(J120="",TODAY()-C120,TODAY()-J120))</f>
        <v/>
      </c>
      <c r="L120" s="11">
        <f>IF(B120="","",IF(F120="Diario",1,IF(F120="Semanal",7,IF(F120="Quincenal",15,IF(F120="Mensual",30,30))))+Resumen!$B$2)</f>
        <v/>
      </c>
      <c r="M120" s="11">
        <f>IF(B120="","",IF(G120&lt;=0,"Pagado",IF(K120&gt;L120,"Atrasado","Al dia")))</f>
        <v/>
      </c>
    </row>
    <row r="121">
      <c r="A121" s="11">
        <f>IF(B121="","","P"&amp;TEXT(ROW()-1,"000"))</f>
        <v/>
      </c>
      <c r="B121" s="12" t="n"/>
      <c r="C121" s="13" t="n"/>
      <c r="D121" s="14" t="n"/>
      <c r="E121" s="15" t="n"/>
      <c r="F121" s="12" t="n"/>
      <c r="G121" s="16">
        <f>IF(B121="","",D121-SUMIFS(Pagos!$H:$H,Pagos!$B:$B,A121))</f>
        <v/>
      </c>
      <c r="H121" s="16">
        <f>IF(B121="","",SUMIFS(Pagos!$E:$E,Pagos!$B:$B,A121))</f>
        <v/>
      </c>
      <c r="I121" s="16">
        <f>IF(B121="","",SUMIFS(Pagos!$G:$G,Pagos!$B:$B,A121))</f>
        <v/>
      </c>
      <c r="J121" s="17">
        <f>IF(B121="","",IF(COUNTIF(Pagos!$B:$B,A121)=0,"",_xlfn.MAXIFS(Pagos!$D:$D,Pagos!$B:$B,A121)))</f>
        <v/>
      </c>
      <c r="K121" s="11">
        <f>IF(B121="","",IF(J121="",TODAY()-C121,TODAY()-J121))</f>
        <v/>
      </c>
      <c r="L121" s="11">
        <f>IF(B121="","",IF(F121="Diario",1,IF(F121="Semanal",7,IF(F121="Quincenal",15,IF(F121="Mensual",30,30))))+Resumen!$B$2)</f>
        <v/>
      </c>
      <c r="M121" s="11">
        <f>IF(B121="","",IF(G121&lt;=0,"Pagado",IF(K121&gt;L121,"Atrasado","Al dia")))</f>
        <v/>
      </c>
    </row>
    <row r="122">
      <c r="A122" s="11">
        <f>IF(B122="","","P"&amp;TEXT(ROW()-1,"000"))</f>
        <v/>
      </c>
      <c r="B122" s="12" t="n"/>
      <c r="C122" s="13" t="n"/>
      <c r="D122" s="14" t="n"/>
      <c r="E122" s="15" t="n"/>
      <c r="F122" s="12" t="n"/>
      <c r="G122" s="16">
        <f>IF(B122="","",D122-SUMIFS(Pagos!$H:$H,Pagos!$B:$B,A122))</f>
        <v/>
      </c>
      <c r="H122" s="16">
        <f>IF(B122="","",SUMIFS(Pagos!$E:$E,Pagos!$B:$B,A122))</f>
        <v/>
      </c>
      <c r="I122" s="16">
        <f>IF(B122="","",SUMIFS(Pagos!$G:$G,Pagos!$B:$B,A122))</f>
        <v/>
      </c>
      <c r="J122" s="17">
        <f>IF(B122="","",IF(COUNTIF(Pagos!$B:$B,A122)=0,"",_xlfn.MAXIFS(Pagos!$D:$D,Pagos!$B:$B,A122)))</f>
        <v/>
      </c>
      <c r="K122" s="11">
        <f>IF(B122="","",IF(J122="",TODAY()-C122,TODAY()-J122))</f>
        <v/>
      </c>
      <c r="L122" s="11">
        <f>IF(B122="","",IF(F122="Diario",1,IF(F122="Semanal",7,IF(F122="Quincenal",15,IF(F122="Mensual",30,30))))+Resumen!$B$2)</f>
        <v/>
      </c>
      <c r="M122" s="11">
        <f>IF(B122="","",IF(G122&lt;=0,"Pagado",IF(K122&gt;L122,"Atrasado","Al dia")))</f>
        <v/>
      </c>
    </row>
    <row r="123">
      <c r="A123" s="11">
        <f>IF(B123="","","P"&amp;TEXT(ROW()-1,"000"))</f>
        <v/>
      </c>
      <c r="B123" s="12" t="n"/>
      <c r="C123" s="13" t="n"/>
      <c r="D123" s="14" t="n"/>
      <c r="E123" s="15" t="n"/>
      <c r="F123" s="12" t="n"/>
      <c r="G123" s="16">
        <f>IF(B123="","",D123-SUMIFS(Pagos!$H:$H,Pagos!$B:$B,A123))</f>
        <v/>
      </c>
      <c r="H123" s="16">
        <f>IF(B123="","",SUMIFS(Pagos!$E:$E,Pagos!$B:$B,A123))</f>
        <v/>
      </c>
      <c r="I123" s="16">
        <f>IF(B123="","",SUMIFS(Pagos!$G:$G,Pagos!$B:$B,A123))</f>
        <v/>
      </c>
      <c r="J123" s="17">
        <f>IF(B123="","",IF(COUNTIF(Pagos!$B:$B,A123)=0,"",_xlfn.MAXIFS(Pagos!$D:$D,Pagos!$B:$B,A123)))</f>
        <v/>
      </c>
      <c r="K123" s="11">
        <f>IF(B123="","",IF(J123="",TODAY()-C123,TODAY()-J123))</f>
        <v/>
      </c>
      <c r="L123" s="11">
        <f>IF(B123="","",IF(F123="Diario",1,IF(F123="Semanal",7,IF(F123="Quincenal",15,IF(F123="Mensual",30,30))))+Resumen!$B$2)</f>
        <v/>
      </c>
      <c r="M123" s="11">
        <f>IF(B123="","",IF(G123&lt;=0,"Pagado",IF(K123&gt;L123,"Atrasado","Al dia")))</f>
        <v/>
      </c>
    </row>
    <row r="124">
      <c r="A124" s="11">
        <f>IF(B124="","","P"&amp;TEXT(ROW()-1,"000"))</f>
        <v/>
      </c>
      <c r="B124" s="12" t="n"/>
      <c r="C124" s="13" t="n"/>
      <c r="D124" s="14" t="n"/>
      <c r="E124" s="15" t="n"/>
      <c r="F124" s="12" t="n"/>
      <c r="G124" s="16">
        <f>IF(B124="","",D124-SUMIFS(Pagos!$H:$H,Pagos!$B:$B,A124))</f>
        <v/>
      </c>
      <c r="H124" s="16">
        <f>IF(B124="","",SUMIFS(Pagos!$E:$E,Pagos!$B:$B,A124))</f>
        <v/>
      </c>
      <c r="I124" s="16">
        <f>IF(B124="","",SUMIFS(Pagos!$G:$G,Pagos!$B:$B,A124))</f>
        <v/>
      </c>
      <c r="J124" s="17">
        <f>IF(B124="","",IF(COUNTIF(Pagos!$B:$B,A124)=0,"",_xlfn.MAXIFS(Pagos!$D:$D,Pagos!$B:$B,A124)))</f>
        <v/>
      </c>
      <c r="K124" s="11">
        <f>IF(B124="","",IF(J124="",TODAY()-C124,TODAY()-J124))</f>
        <v/>
      </c>
      <c r="L124" s="11">
        <f>IF(B124="","",IF(F124="Diario",1,IF(F124="Semanal",7,IF(F124="Quincenal",15,IF(F124="Mensual",30,30))))+Resumen!$B$2)</f>
        <v/>
      </c>
      <c r="M124" s="11">
        <f>IF(B124="","",IF(G124&lt;=0,"Pagado",IF(K124&gt;L124,"Atrasado","Al dia")))</f>
        <v/>
      </c>
    </row>
    <row r="125">
      <c r="A125" s="11">
        <f>IF(B125="","","P"&amp;TEXT(ROW()-1,"000"))</f>
        <v/>
      </c>
      <c r="B125" s="12" t="n"/>
      <c r="C125" s="13" t="n"/>
      <c r="D125" s="14" t="n"/>
      <c r="E125" s="15" t="n"/>
      <c r="F125" s="12" t="n"/>
      <c r="G125" s="16">
        <f>IF(B125="","",D125-SUMIFS(Pagos!$H:$H,Pagos!$B:$B,A125))</f>
        <v/>
      </c>
      <c r="H125" s="16">
        <f>IF(B125="","",SUMIFS(Pagos!$E:$E,Pagos!$B:$B,A125))</f>
        <v/>
      </c>
      <c r="I125" s="16">
        <f>IF(B125="","",SUMIFS(Pagos!$G:$G,Pagos!$B:$B,A125))</f>
        <v/>
      </c>
      <c r="J125" s="17">
        <f>IF(B125="","",IF(COUNTIF(Pagos!$B:$B,A125)=0,"",_xlfn.MAXIFS(Pagos!$D:$D,Pagos!$B:$B,A125)))</f>
        <v/>
      </c>
      <c r="K125" s="11">
        <f>IF(B125="","",IF(J125="",TODAY()-C125,TODAY()-J125))</f>
        <v/>
      </c>
      <c r="L125" s="11">
        <f>IF(B125="","",IF(F125="Diario",1,IF(F125="Semanal",7,IF(F125="Quincenal",15,IF(F125="Mensual",30,30))))+Resumen!$B$2)</f>
        <v/>
      </c>
      <c r="M125" s="11">
        <f>IF(B125="","",IF(G125&lt;=0,"Pagado",IF(K125&gt;L125,"Atrasado","Al dia")))</f>
        <v/>
      </c>
    </row>
    <row r="126">
      <c r="A126" s="11">
        <f>IF(B126="","","P"&amp;TEXT(ROW()-1,"000"))</f>
        <v/>
      </c>
      <c r="B126" s="12" t="n"/>
      <c r="C126" s="13" t="n"/>
      <c r="D126" s="14" t="n"/>
      <c r="E126" s="15" t="n"/>
      <c r="F126" s="12" t="n"/>
      <c r="G126" s="16">
        <f>IF(B126="","",D126-SUMIFS(Pagos!$H:$H,Pagos!$B:$B,A126))</f>
        <v/>
      </c>
      <c r="H126" s="16">
        <f>IF(B126="","",SUMIFS(Pagos!$E:$E,Pagos!$B:$B,A126))</f>
        <v/>
      </c>
      <c r="I126" s="16">
        <f>IF(B126="","",SUMIFS(Pagos!$G:$G,Pagos!$B:$B,A126))</f>
        <v/>
      </c>
      <c r="J126" s="17">
        <f>IF(B126="","",IF(COUNTIF(Pagos!$B:$B,A126)=0,"",_xlfn.MAXIFS(Pagos!$D:$D,Pagos!$B:$B,A126)))</f>
        <v/>
      </c>
      <c r="K126" s="11">
        <f>IF(B126="","",IF(J126="",TODAY()-C126,TODAY()-J126))</f>
        <v/>
      </c>
      <c r="L126" s="11">
        <f>IF(B126="","",IF(F126="Diario",1,IF(F126="Semanal",7,IF(F126="Quincenal",15,IF(F126="Mensual",30,30))))+Resumen!$B$2)</f>
        <v/>
      </c>
      <c r="M126" s="11">
        <f>IF(B126="","",IF(G126&lt;=0,"Pagado",IF(K126&gt;L126,"Atrasado","Al dia")))</f>
        <v/>
      </c>
    </row>
    <row r="127">
      <c r="A127" s="11">
        <f>IF(B127="","","P"&amp;TEXT(ROW()-1,"000"))</f>
        <v/>
      </c>
      <c r="B127" s="12" t="n"/>
      <c r="C127" s="13" t="n"/>
      <c r="D127" s="14" t="n"/>
      <c r="E127" s="15" t="n"/>
      <c r="F127" s="12" t="n"/>
      <c r="G127" s="16">
        <f>IF(B127="","",D127-SUMIFS(Pagos!$H:$H,Pagos!$B:$B,A127))</f>
        <v/>
      </c>
      <c r="H127" s="16">
        <f>IF(B127="","",SUMIFS(Pagos!$E:$E,Pagos!$B:$B,A127))</f>
        <v/>
      </c>
      <c r="I127" s="16">
        <f>IF(B127="","",SUMIFS(Pagos!$G:$G,Pagos!$B:$B,A127))</f>
        <v/>
      </c>
      <c r="J127" s="17">
        <f>IF(B127="","",IF(COUNTIF(Pagos!$B:$B,A127)=0,"",_xlfn.MAXIFS(Pagos!$D:$D,Pagos!$B:$B,A127)))</f>
        <v/>
      </c>
      <c r="K127" s="11">
        <f>IF(B127="","",IF(J127="",TODAY()-C127,TODAY()-J127))</f>
        <v/>
      </c>
      <c r="L127" s="11">
        <f>IF(B127="","",IF(F127="Diario",1,IF(F127="Semanal",7,IF(F127="Quincenal",15,IF(F127="Mensual",30,30))))+Resumen!$B$2)</f>
        <v/>
      </c>
      <c r="M127" s="11">
        <f>IF(B127="","",IF(G127&lt;=0,"Pagado",IF(K127&gt;L127,"Atrasado","Al dia")))</f>
        <v/>
      </c>
    </row>
    <row r="128">
      <c r="A128" s="11">
        <f>IF(B128="","","P"&amp;TEXT(ROW()-1,"000"))</f>
        <v/>
      </c>
      <c r="B128" s="12" t="n"/>
      <c r="C128" s="13" t="n"/>
      <c r="D128" s="14" t="n"/>
      <c r="E128" s="15" t="n"/>
      <c r="F128" s="12" t="n"/>
      <c r="G128" s="16">
        <f>IF(B128="","",D128-SUMIFS(Pagos!$H:$H,Pagos!$B:$B,A128))</f>
        <v/>
      </c>
      <c r="H128" s="16">
        <f>IF(B128="","",SUMIFS(Pagos!$E:$E,Pagos!$B:$B,A128))</f>
        <v/>
      </c>
      <c r="I128" s="16">
        <f>IF(B128="","",SUMIFS(Pagos!$G:$G,Pagos!$B:$B,A128))</f>
        <v/>
      </c>
      <c r="J128" s="17">
        <f>IF(B128="","",IF(COUNTIF(Pagos!$B:$B,A128)=0,"",_xlfn.MAXIFS(Pagos!$D:$D,Pagos!$B:$B,A128)))</f>
        <v/>
      </c>
      <c r="K128" s="11">
        <f>IF(B128="","",IF(J128="",TODAY()-C128,TODAY()-J128))</f>
        <v/>
      </c>
      <c r="L128" s="11">
        <f>IF(B128="","",IF(F128="Diario",1,IF(F128="Semanal",7,IF(F128="Quincenal",15,IF(F128="Mensual",30,30))))+Resumen!$B$2)</f>
        <v/>
      </c>
      <c r="M128" s="11">
        <f>IF(B128="","",IF(G128&lt;=0,"Pagado",IF(K128&gt;L128,"Atrasado","Al dia")))</f>
        <v/>
      </c>
    </row>
    <row r="129">
      <c r="A129" s="11">
        <f>IF(B129="","","P"&amp;TEXT(ROW()-1,"000"))</f>
        <v/>
      </c>
      <c r="B129" s="12" t="n"/>
      <c r="C129" s="13" t="n"/>
      <c r="D129" s="14" t="n"/>
      <c r="E129" s="15" t="n"/>
      <c r="F129" s="12" t="n"/>
      <c r="G129" s="16">
        <f>IF(B129="","",D129-SUMIFS(Pagos!$H:$H,Pagos!$B:$B,A129))</f>
        <v/>
      </c>
      <c r="H129" s="16">
        <f>IF(B129="","",SUMIFS(Pagos!$E:$E,Pagos!$B:$B,A129))</f>
        <v/>
      </c>
      <c r="I129" s="16">
        <f>IF(B129="","",SUMIFS(Pagos!$G:$G,Pagos!$B:$B,A129))</f>
        <v/>
      </c>
      <c r="J129" s="17">
        <f>IF(B129="","",IF(COUNTIF(Pagos!$B:$B,A129)=0,"",_xlfn.MAXIFS(Pagos!$D:$D,Pagos!$B:$B,A129)))</f>
        <v/>
      </c>
      <c r="K129" s="11">
        <f>IF(B129="","",IF(J129="",TODAY()-C129,TODAY()-J129))</f>
        <v/>
      </c>
      <c r="L129" s="11">
        <f>IF(B129="","",IF(F129="Diario",1,IF(F129="Semanal",7,IF(F129="Quincenal",15,IF(F129="Mensual",30,30))))+Resumen!$B$2)</f>
        <v/>
      </c>
      <c r="M129" s="11">
        <f>IF(B129="","",IF(G129&lt;=0,"Pagado",IF(K129&gt;L129,"Atrasado","Al dia")))</f>
        <v/>
      </c>
    </row>
    <row r="130">
      <c r="A130" s="11">
        <f>IF(B130="","","P"&amp;TEXT(ROW()-1,"000"))</f>
        <v/>
      </c>
      <c r="B130" s="12" t="n"/>
      <c r="C130" s="13" t="n"/>
      <c r="D130" s="14" t="n"/>
      <c r="E130" s="15" t="n"/>
      <c r="F130" s="12" t="n"/>
      <c r="G130" s="16">
        <f>IF(B130="","",D130-SUMIFS(Pagos!$H:$H,Pagos!$B:$B,A130))</f>
        <v/>
      </c>
      <c r="H130" s="16">
        <f>IF(B130="","",SUMIFS(Pagos!$E:$E,Pagos!$B:$B,A130))</f>
        <v/>
      </c>
      <c r="I130" s="16">
        <f>IF(B130="","",SUMIFS(Pagos!$G:$G,Pagos!$B:$B,A130))</f>
        <v/>
      </c>
      <c r="J130" s="17">
        <f>IF(B130="","",IF(COUNTIF(Pagos!$B:$B,A130)=0,"",_xlfn.MAXIFS(Pagos!$D:$D,Pagos!$B:$B,A130)))</f>
        <v/>
      </c>
      <c r="K130" s="11">
        <f>IF(B130="","",IF(J130="",TODAY()-C130,TODAY()-J130))</f>
        <v/>
      </c>
      <c r="L130" s="11">
        <f>IF(B130="","",IF(F130="Diario",1,IF(F130="Semanal",7,IF(F130="Quincenal",15,IF(F130="Mensual",30,30))))+Resumen!$B$2)</f>
        <v/>
      </c>
      <c r="M130" s="11">
        <f>IF(B130="","",IF(G130&lt;=0,"Pagado",IF(K130&gt;L130,"Atrasado","Al dia")))</f>
        <v/>
      </c>
    </row>
    <row r="131">
      <c r="A131" s="11">
        <f>IF(B131="","","P"&amp;TEXT(ROW()-1,"000"))</f>
        <v/>
      </c>
      <c r="B131" s="12" t="n"/>
      <c r="C131" s="13" t="n"/>
      <c r="D131" s="14" t="n"/>
      <c r="E131" s="15" t="n"/>
      <c r="F131" s="12" t="n"/>
      <c r="G131" s="16">
        <f>IF(B131="","",D131-SUMIFS(Pagos!$H:$H,Pagos!$B:$B,A131))</f>
        <v/>
      </c>
      <c r="H131" s="16">
        <f>IF(B131="","",SUMIFS(Pagos!$E:$E,Pagos!$B:$B,A131))</f>
        <v/>
      </c>
      <c r="I131" s="16">
        <f>IF(B131="","",SUMIFS(Pagos!$G:$G,Pagos!$B:$B,A131))</f>
        <v/>
      </c>
      <c r="J131" s="17">
        <f>IF(B131="","",IF(COUNTIF(Pagos!$B:$B,A131)=0,"",_xlfn.MAXIFS(Pagos!$D:$D,Pagos!$B:$B,A131)))</f>
        <v/>
      </c>
      <c r="K131" s="11">
        <f>IF(B131="","",IF(J131="",TODAY()-C131,TODAY()-J131))</f>
        <v/>
      </c>
      <c r="L131" s="11">
        <f>IF(B131="","",IF(F131="Diario",1,IF(F131="Semanal",7,IF(F131="Quincenal",15,IF(F131="Mensual",30,30))))+Resumen!$B$2)</f>
        <v/>
      </c>
      <c r="M131" s="11">
        <f>IF(B131="","",IF(G131&lt;=0,"Pagado",IF(K131&gt;L131,"Atrasado","Al dia")))</f>
        <v/>
      </c>
    </row>
    <row r="132">
      <c r="A132" s="11">
        <f>IF(B132="","","P"&amp;TEXT(ROW()-1,"000"))</f>
        <v/>
      </c>
      <c r="B132" s="12" t="n"/>
      <c r="C132" s="13" t="n"/>
      <c r="D132" s="14" t="n"/>
      <c r="E132" s="15" t="n"/>
      <c r="F132" s="12" t="n"/>
      <c r="G132" s="16">
        <f>IF(B132="","",D132-SUMIFS(Pagos!$H:$H,Pagos!$B:$B,A132))</f>
        <v/>
      </c>
      <c r="H132" s="16">
        <f>IF(B132="","",SUMIFS(Pagos!$E:$E,Pagos!$B:$B,A132))</f>
        <v/>
      </c>
      <c r="I132" s="16">
        <f>IF(B132="","",SUMIFS(Pagos!$G:$G,Pagos!$B:$B,A132))</f>
        <v/>
      </c>
      <c r="J132" s="17">
        <f>IF(B132="","",IF(COUNTIF(Pagos!$B:$B,A132)=0,"",_xlfn.MAXIFS(Pagos!$D:$D,Pagos!$B:$B,A132)))</f>
        <v/>
      </c>
      <c r="K132" s="11">
        <f>IF(B132="","",IF(J132="",TODAY()-C132,TODAY()-J132))</f>
        <v/>
      </c>
      <c r="L132" s="11">
        <f>IF(B132="","",IF(F132="Diario",1,IF(F132="Semanal",7,IF(F132="Quincenal",15,IF(F132="Mensual",30,30))))+Resumen!$B$2)</f>
        <v/>
      </c>
      <c r="M132" s="11">
        <f>IF(B132="","",IF(G132&lt;=0,"Pagado",IF(K132&gt;L132,"Atrasado","Al dia")))</f>
        <v/>
      </c>
    </row>
    <row r="133">
      <c r="A133" s="11">
        <f>IF(B133="","","P"&amp;TEXT(ROW()-1,"000"))</f>
        <v/>
      </c>
      <c r="B133" s="12" t="n"/>
      <c r="C133" s="13" t="n"/>
      <c r="D133" s="14" t="n"/>
      <c r="E133" s="15" t="n"/>
      <c r="F133" s="12" t="n"/>
      <c r="G133" s="16">
        <f>IF(B133="","",D133-SUMIFS(Pagos!$H:$H,Pagos!$B:$B,A133))</f>
        <v/>
      </c>
      <c r="H133" s="16">
        <f>IF(B133="","",SUMIFS(Pagos!$E:$E,Pagos!$B:$B,A133))</f>
        <v/>
      </c>
      <c r="I133" s="16">
        <f>IF(B133="","",SUMIFS(Pagos!$G:$G,Pagos!$B:$B,A133))</f>
        <v/>
      </c>
      <c r="J133" s="17">
        <f>IF(B133="","",IF(COUNTIF(Pagos!$B:$B,A133)=0,"",_xlfn.MAXIFS(Pagos!$D:$D,Pagos!$B:$B,A133)))</f>
        <v/>
      </c>
      <c r="K133" s="11">
        <f>IF(B133="","",IF(J133="",TODAY()-C133,TODAY()-J133))</f>
        <v/>
      </c>
      <c r="L133" s="11">
        <f>IF(B133="","",IF(F133="Diario",1,IF(F133="Semanal",7,IF(F133="Quincenal",15,IF(F133="Mensual",30,30))))+Resumen!$B$2)</f>
        <v/>
      </c>
      <c r="M133" s="11">
        <f>IF(B133="","",IF(G133&lt;=0,"Pagado",IF(K133&gt;L133,"Atrasado","Al dia")))</f>
        <v/>
      </c>
    </row>
    <row r="134">
      <c r="A134" s="11">
        <f>IF(B134="","","P"&amp;TEXT(ROW()-1,"000"))</f>
        <v/>
      </c>
      <c r="B134" s="12" t="n"/>
      <c r="C134" s="13" t="n"/>
      <c r="D134" s="14" t="n"/>
      <c r="E134" s="15" t="n"/>
      <c r="F134" s="12" t="n"/>
      <c r="G134" s="16">
        <f>IF(B134="","",D134-SUMIFS(Pagos!$H:$H,Pagos!$B:$B,A134))</f>
        <v/>
      </c>
      <c r="H134" s="16">
        <f>IF(B134="","",SUMIFS(Pagos!$E:$E,Pagos!$B:$B,A134))</f>
        <v/>
      </c>
      <c r="I134" s="16">
        <f>IF(B134="","",SUMIFS(Pagos!$G:$G,Pagos!$B:$B,A134))</f>
        <v/>
      </c>
      <c r="J134" s="17">
        <f>IF(B134="","",IF(COUNTIF(Pagos!$B:$B,A134)=0,"",_xlfn.MAXIFS(Pagos!$D:$D,Pagos!$B:$B,A134)))</f>
        <v/>
      </c>
      <c r="K134" s="11">
        <f>IF(B134="","",IF(J134="",TODAY()-C134,TODAY()-J134))</f>
        <v/>
      </c>
      <c r="L134" s="11">
        <f>IF(B134="","",IF(F134="Diario",1,IF(F134="Semanal",7,IF(F134="Quincenal",15,IF(F134="Mensual",30,30))))+Resumen!$B$2)</f>
        <v/>
      </c>
      <c r="M134" s="11">
        <f>IF(B134="","",IF(G134&lt;=0,"Pagado",IF(K134&gt;L134,"Atrasado","Al dia")))</f>
        <v/>
      </c>
    </row>
    <row r="135">
      <c r="A135" s="11">
        <f>IF(B135="","","P"&amp;TEXT(ROW()-1,"000"))</f>
        <v/>
      </c>
      <c r="B135" s="12" t="n"/>
      <c r="C135" s="13" t="n"/>
      <c r="D135" s="14" t="n"/>
      <c r="E135" s="15" t="n"/>
      <c r="F135" s="12" t="n"/>
      <c r="G135" s="16">
        <f>IF(B135="","",D135-SUMIFS(Pagos!$H:$H,Pagos!$B:$B,A135))</f>
        <v/>
      </c>
      <c r="H135" s="16">
        <f>IF(B135="","",SUMIFS(Pagos!$E:$E,Pagos!$B:$B,A135))</f>
        <v/>
      </c>
      <c r="I135" s="16">
        <f>IF(B135="","",SUMIFS(Pagos!$G:$G,Pagos!$B:$B,A135))</f>
        <v/>
      </c>
      <c r="J135" s="17">
        <f>IF(B135="","",IF(COUNTIF(Pagos!$B:$B,A135)=0,"",_xlfn.MAXIFS(Pagos!$D:$D,Pagos!$B:$B,A135)))</f>
        <v/>
      </c>
      <c r="K135" s="11">
        <f>IF(B135="","",IF(J135="",TODAY()-C135,TODAY()-J135))</f>
        <v/>
      </c>
      <c r="L135" s="11">
        <f>IF(B135="","",IF(F135="Diario",1,IF(F135="Semanal",7,IF(F135="Quincenal",15,IF(F135="Mensual",30,30))))+Resumen!$B$2)</f>
        <v/>
      </c>
      <c r="M135" s="11">
        <f>IF(B135="","",IF(G135&lt;=0,"Pagado",IF(K135&gt;L135,"Atrasado","Al dia")))</f>
        <v/>
      </c>
    </row>
    <row r="136">
      <c r="A136" s="11">
        <f>IF(B136="","","P"&amp;TEXT(ROW()-1,"000"))</f>
        <v/>
      </c>
      <c r="B136" s="12" t="n"/>
      <c r="C136" s="13" t="n"/>
      <c r="D136" s="14" t="n"/>
      <c r="E136" s="15" t="n"/>
      <c r="F136" s="12" t="n"/>
      <c r="G136" s="16">
        <f>IF(B136="","",D136-SUMIFS(Pagos!$H:$H,Pagos!$B:$B,A136))</f>
        <v/>
      </c>
      <c r="H136" s="16">
        <f>IF(B136="","",SUMIFS(Pagos!$E:$E,Pagos!$B:$B,A136))</f>
        <v/>
      </c>
      <c r="I136" s="16">
        <f>IF(B136="","",SUMIFS(Pagos!$G:$G,Pagos!$B:$B,A136))</f>
        <v/>
      </c>
      <c r="J136" s="17">
        <f>IF(B136="","",IF(COUNTIF(Pagos!$B:$B,A136)=0,"",_xlfn.MAXIFS(Pagos!$D:$D,Pagos!$B:$B,A136)))</f>
        <v/>
      </c>
      <c r="K136" s="11">
        <f>IF(B136="","",IF(J136="",TODAY()-C136,TODAY()-J136))</f>
        <v/>
      </c>
      <c r="L136" s="11">
        <f>IF(B136="","",IF(F136="Diario",1,IF(F136="Semanal",7,IF(F136="Quincenal",15,IF(F136="Mensual",30,30))))+Resumen!$B$2)</f>
        <v/>
      </c>
      <c r="M136" s="11">
        <f>IF(B136="","",IF(G136&lt;=0,"Pagado",IF(K136&gt;L136,"Atrasado","Al dia")))</f>
        <v/>
      </c>
    </row>
    <row r="137">
      <c r="A137" s="11">
        <f>IF(B137="","","P"&amp;TEXT(ROW()-1,"000"))</f>
        <v/>
      </c>
      <c r="B137" s="12" t="n"/>
      <c r="C137" s="13" t="n"/>
      <c r="D137" s="14" t="n"/>
      <c r="E137" s="15" t="n"/>
      <c r="F137" s="12" t="n"/>
      <c r="G137" s="16">
        <f>IF(B137="","",D137-SUMIFS(Pagos!$H:$H,Pagos!$B:$B,A137))</f>
        <v/>
      </c>
      <c r="H137" s="16">
        <f>IF(B137="","",SUMIFS(Pagos!$E:$E,Pagos!$B:$B,A137))</f>
        <v/>
      </c>
      <c r="I137" s="16">
        <f>IF(B137="","",SUMIFS(Pagos!$G:$G,Pagos!$B:$B,A137))</f>
        <v/>
      </c>
      <c r="J137" s="17">
        <f>IF(B137="","",IF(COUNTIF(Pagos!$B:$B,A137)=0,"",_xlfn.MAXIFS(Pagos!$D:$D,Pagos!$B:$B,A137)))</f>
        <v/>
      </c>
      <c r="K137" s="11">
        <f>IF(B137="","",IF(J137="",TODAY()-C137,TODAY()-J137))</f>
        <v/>
      </c>
      <c r="L137" s="11">
        <f>IF(B137="","",IF(F137="Diario",1,IF(F137="Semanal",7,IF(F137="Quincenal",15,IF(F137="Mensual",30,30))))+Resumen!$B$2)</f>
        <v/>
      </c>
      <c r="M137" s="11">
        <f>IF(B137="","",IF(G137&lt;=0,"Pagado",IF(K137&gt;L137,"Atrasado","Al dia")))</f>
        <v/>
      </c>
    </row>
    <row r="138">
      <c r="A138" s="11">
        <f>IF(B138="","","P"&amp;TEXT(ROW()-1,"000"))</f>
        <v/>
      </c>
      <c r="B138" s="12" t="n"/>
      <c r="C138" s="13" t="n"/>
      <c r="D138" s="14" t="n"/>
      <c r="E138" s="15" t="n"/>
      <c r="F138" s="12" t="n"/>
      <c r="G138" s="16">
        <f>IF(B138="","",D138-SUMIFS(Pagos!$H:$H,Pagos!$B:$B,A138))</f>
        <v/>
      </c>
      <c r="H138" s="16">
        <f>IF(B138="","",SUMIFS(Pagos!$E:$E,Pagos!$B:$B,A138))</f>
        <v/>
      </c>
      <c r="I138" s="16">
        <f>IF(B138="","",SUMIFS(Pagos!$G:$G,Pagos!$B:$B,A138))</f>
        <v/>
      </c>
      <c r="J138" s="17">
        <f>IF(B138="","",IF(COUNTIF(Pagos!$B:$B,A138)=0,"",_xlfn.MAXIFS(Pagos!$D:$D,Pagos!$B:$B,A138)))</f>
        <v/>
      </c>
      <c r="K138" s="11">
        <f>IF(B138="","",IF(J138="",TODAY()-C138,TODAY()-J138))</f>
        <v/>
      </c>
      <c r="L138" s="11">
        <f>IF(B138="","",IF(F138="Diario",1,IF(F138="Semanal",7,IF(F138="Quincenal",15,IF(F138="Mensual",30,30))))+Resumen!$B$2)</f>
        <v/>
      </c>
      <c r="M138" s="11">
        <f>IF(B138="","",IF(G138&lt;=0,"Pagado",IF(K138&gt;L138,"Atrasado","Al dia")))</f>
        <v/>
      </c>
    </row>
    <row r="139">
      <c r="A139" s="11">
        <f>IF(B139="","","P"&amp;TEXT(ROW()-1,"000"))</f>
        <v/>
      </c>
      <c r="B139" s="12" t="n"/>
      <c r="C139" s="13" t="n"/>
      <c r="D139" s="14" t="n"/>
      <c r="E139" s="15" t="n"/>
      <c r="F139" s="12" t="n"/>
      <c r="G139" s="16">
        <f>IF(B139="","",D139-SUMIFS(Pagos!$H:$H,Pagos!$B:$B,A139))</f>
        <v/>
      </c>
      <c r="H139" s="16">
        <f>IF(B139="","",SUMIFS(Pagos!$E:$E,Pagos!$B:$B,A139))</f>
        <v/>
      </c>
      <c r="I139" s="16">
        <f>IF(B139="","",SUMIFS(Pagos!$G:$G,Pagos!$B:$B,A139))</f>
        <v/>
      </c>
      <c r="J139" s="17">
        <f>IF(B139="","",IF(COUNTIF(Pagos!$B:$B,A139)=0,"",_xlfn.MAXIFS(Pagos!$D:$D,Pagos!$B:$B,A139)))</f>
        <v/>
      </c>
      <c r="K139" s="11">
        <f>IF(B139="","",IF(J139="",TODAY()-C139,TODAY()-J139))</f>
        <v/>
      </c>
      <c r="L139" s="11">
        <f>IF(B139="","",IF(F139="Diario",1,IF(F139="Semanal",7,IF(F139="Quincenal",15,IF(F139="Mensual",30,30))))+Resumen!$B$2)</f>
        <v/>
      </c>
      <c r="M139" s="11">
        <f>IF(B139="","",IF(G139&lt;=0,"Pagado",IF(K139&gt;L139,"Atrasado","Al dia")))</f>
        <v/>
      </c>
    </row>
    <row r="140">
      <c r="A140" s="11">
        <f>IF(B140="","","P"&amp;TEXT(ROW()-1,"000"))</f>
        <v/>
      </c>
      <c r="B140" s="12" t="n"/>
      <c r="C140" s="13" t="n"/>
      <c r="D140" s="14" t="n"/>
      <c r="E140" s="15" t="n"/>
      <c r="F140" s="12" t="n"/>
      <c r="G140" s="16">
        <f>IF(B140="","",D140-SUMIFS(Pagos!$H:$H,Pagos!$B:$B,A140))</f>
        <v/>
      </c>
      <c r="H140" s="16">
        <f>IF(B140="","",SUMIFS(Pagos!$E:$E,Pagos!$B:$B,A140))</f>
        <v/>
      </c>
      <c r="I140" s="16">
        <f>IF(B140="","",SUMIFS(Pagos!$G:$G,Pagos!$B:$B,A140))</f>
        <v/>
      </c>
      <c r="J140" s="17">
        <f>IF(B140="","",IF(COUNTIF(Pagos!$B:$B,A140)=0,"",_xlfn.MAXIFS(Pagos!$D:$D,Pagos!$B:$B,A140)))</f>
        <v/>
      </c>
      <c r="K140" s="11">
        <f>IF(B140="","",IF(J140="",TODAY()-C140,TODAY()-J140))</f>
        <v/>
      </c>
      <c r="L140" s="11">
        <f>IF(B140="","",IF(F140="Diario",1,IF(F140="Semanal",7,IF(F140="Quincenal",15,IF(F140="Mensual",30,30))))+Resumen!$B$2)</f>
        <v/>
      </c>
      <c r="M140" s="11">
        <f>IF(B140="","",IF(G140&lt;=0,"Pagado",IF(K140&gt;L140,"Atrasado","Al dia")))</f>
        <v/>
      </c>
    </row>
    <row r="141">
      <c r="A141" s="11">
        <f>IF(B141="","","P"&amp;TEXT(ROW()-1,"000"))</f>
        <v/>
      </c>
      <c r="B141" s="12" t="n"/>
      <c r="C141" s="13" t="n"/>
      <c r="D141" s="14" t="n"/>
      <c r="E141" s="15" t="n"/>
      <c r="F141" s="12" t="n"/>
      <c r="G141" s="16">
        <f>IF(B141="","",D141-SUMIFS(Pagos!$H:$H,Pagos!$B:$B,A141))</f>
        <v/>
      </c>
      <c r="H141" s="16">
        <f>IF(B141="","",SUMIFS(Pagos!$E:$E,Pagos!$B:$B,A141))</f>
        <v/>
      </c>
      <c r="I141" s="16">
        <f>IF(B141="","",SUMIFS(Pagos!$G:$G,Pagos!$B:$B,A141))</f>
        <v/>
      </c>
      <c r="J141" s="17">
        <f>IF(B141="","",IF(COUNTIF(Pagos!$B:$B,A141)=0,"",_xlfn.MAXIFS(Pagos!$D:$D,Pagos!$B:$B,A141)))</f>
        <v/>
      </c>
      <c r="K141" s="11">
        <f>IF(B141="","",IF(J141="",TODAY()-C141,TODAY()-J141))</f>
        <v/>
      </c>
      <c r="L141" s="11">
        <f>IF(B141="","",IF(F141="Diario",1,IF(F141="Semanal",7,IF(F141="Quincenal",15,IF(F141="Mensual",30,30))))+Resumen!$B$2)</f>
        <v/>
      </c>
      <c r="M141" s="11">
        <f>IF(B141="","",IF(G141&lt;=0,"Pagado",IF(K141&gt;L141,"Atrasado","Al dia")))</f>
        <v/>
      </c>
    </row>
    <row r="142">
      <c r="A142" s="11">
        <f>IF(B142="","","P"&amp;TEXT(ROW()-1,"000"))</f>
        <v/>
      </c>
      <c r="B142" s="12" t="n"/>
      <c r="C142" s="13" t="n"/>
      <c r="D142" s="14" t="n"/>
      <c r="E142" s="15" t="n"/>
      <c r="F142" s="12" t="n"/>
      <c r="G142" s="16">
        <f>IF(B142="","",D142-SUMIFS(Pagos!$H:$H,Pagos!$B:$B,A142))</f>
        <v/>
      </c>
      <c r="H142" s="16">
        <f>IF(B142="","",SUMIFS(Pagos!$E:$E,Pagos!$B:$B,A142))</f>
        <v/>
      </c>
      <c r="I142" s="16">
        <f>IF(B142="","",SUMIFS(Pagos!$G:$G,Pagos!$B:$B,A142))</f>
        <v/>
      </c>
      <c r="J142" s="17">
        <f>IF(B142="","",IF(COUNTIF(Pagos!$B:$B,A142)=0,"",_xlfn.MAXIFS(Pagos!$D:$D,Pagos!$B:$B,A142)))</f>
        <v/>
      </c>
      <c r="K142" s="11">
        <f>IF(B142="","",IF(J142="",TODAY()-C142,TODAY()-J142))</f>
        <v/>
      </c>
      <c r="L142" s="11">
        <f>IF(B142="","",IF(F142="Diario",1,IF(F142="Semanal",7,IF(F142="Quincenal",15,IF(F142="Mensual",30,30))))+Resumen!$B$2)</f>
        <v/>
      </c>
      <c r="M142" s="11">
        <f>IF(B142="","",IF(G142&lt;=0,"Pagado",IF(K142&gt;L142,"Atrasado","Al dia")))</f>
        <v/>
      </c>
    </row>
    <row r="143">
      <c r="A143" s="11">
        <f>IF(B143="","","P"&amp;TEXT(ROW()-1,"000"))</f>
        <v/>
      </c>
      <c r="B143" s="12" t="n"/>
      <c r="C143" s="13" t="n"/>
      <c r="D143" s="14" t="n"/>
      <c r="E143" s="15" t="n"/>
      <c r="F143" s="12" t="n"/>
      <c r="G143" s="16">
        <f>IF(B143="","",D143-SUMIFS(Pagos!$H:$H,Pagos!$B:$B,A143))</f>
        <v/>
      </c>
      <c r="H143" s="16">
        <f>IF(B143="","",SUMIFS(Pagos!$E:$E,Pagos!$B:$B,A143))</f>
        <v/>
      </c>
      <c r="I143" s="16">
        <f>IF(B143="","",SUMIFS(Pagos!$G:$G,Pagos!$B:$B,A143))</f>
        <v/>
      </c>
      <c r="J143" s="17">
        <f>IF(B143="","",IF(COUNTIF(Pagos!$B:$B,A143)=0,"",_xlfn.MAXIFS(Pagos!$D:$D,Pagos!$B:$B,A143)))</f>
        <v/>
      </c>
      <c r="K143" s="11">
        <f>IF(B143="","",IF(J143="",TODAY()-C143,TODAY()-J143))</f>
        <v/>
      </c>
      <c r="L143" s="11">
        <f>IF(B143="","",IF(F143="Diario",1,IF(F143="Semanal",7,IF(F143="Quincenal",15,IF(F143="Mensual",30,30))))+Resumen!$B$2)</f>
        <v/>
      </c>
      <c r="M143" s="11">
        <f>IF(B143="","",IF(G143&lt;=0,"Pagado",IF(K143&gt;L143,"Atrasado","Al dia")))</f>
        <v/>
      </c>
    </row>
    <row r="144">
      <c r="A144" s="11">
        <f>IF(B144="","","P"&amp;TEXT(ROW()-1,"000"))</f>
        <v/>
      </c>
      <c r="B144" s="12" t="n"/>
      <c r="C144" s="13" t="n"/>
      <c r="D144" s="14" t="n"/>
      <c r="E144" s="15" t="n"/>
      <c r="F144" s="12" t="n"/>
      <c r="G144" s="16">
        <f>IF(B144="","",D144-SUMIFS(Pagos!$H:$H,Pagos!$B:$B,A144))</f>
        <v/>
      </c>
      <c r="H144" s="16">
        <f>IF(B144="","",SUMIFS(Pagos!$E:$E,Pagos!$B:$B,A144))</f>
        <v/>
      </c>
      <c r="I144" s="16">
        <f>IF(B144="","",SUMIFS(Pagos!$G:$G,Pagos!$B:$B,A144))</f>
        <v/>
      </c>
      <c r="J144" s="17">
        <f>IF(B144="","",IF(COUNTIF(Pagos!$B:$B,A144)=0,"",_xlfn.MAXIFS(Pagos!$D:$D,Pagos!$B:$B,A144)))</f>
        <v/>
      </c>
      <c r="K144" s="11">
        <f>IF(B144="","",IF(J144="",TODAY()-C144,TODAY()-J144))</f>
        <v/>
      </c>
      <c r="L144" s="11">
        <f>IF(B144="","",IF(F144="Diario",1,IF(F144="Semanal",7,IF(F144="Quincenal",15,IF(F144="Mensual",30,30))))+Resumen!$B$2)</f>
        <v/>
      </c>
      <c r="M144" s="11">
        <f>IF(B144="","",IF(G144&lt;=0,"Pagado",IF(K144&gt;L144,"Atrasado","Al dia")))</f>
        <v/>
      </c>
    </row>
    <row r="145">
      <c r="A145" s="11">
        <f>IF(B145="","","P"&amp;TEXT(ROW()-1,"000"))</f>
        <v/>
      </c>
      <c r="B145" s="12" t="n"/>
      <c r="C145" s="13" t="n"/>
      <c r="D145" s="14" t="n"/>
      <c r="E145" s="15" t="n"/>
      <c r="F145" s="12" t="n"/>
      <c r="G145" s="16">
        <f>IF(B145="","",D145-SUMIFS(Pagos!$H:$H,Pagos!$B:$B,A145))</f>
        <v/>
      </c>
      <c r="H145" s="16">
        <f>IF(B145="","",SUMIFS(Pagos!$E:$E,Pagos!$B:$B,A145))</f>
        <v/>
      </c>
      <c r="I145" s="16">
        <f>IF(B145="","",SUMIFS(Pagos!$G:$G,Pagos!$B:$B,A145))</f>
        <v/>
      </c>
      <c r="J145" s="17">
        <f>IF(B145="","",IF(COUNTIF(Pagos!$B:$B,A145)=0,"",_xlfn.MAXIFS(Pagos!$D:$D,Pagos!$B:$B,A145)))</f>
        <v/>
      </c>
      <c r="K145" s="11">
        <f>IF(B145="","",IF(J145="",TODAY()-C145,TODAY()-J145))</f>
        <v/>
      </c>
      <c r="L145" s="11">
        <f>IF(B145="","",IF(F145="Diario",1,IF(F145="Semanal",7,IF(F145="Quincenal",15,IF(F145="Mensual",30,30))))+Resumen!$B$2)</f>
        <v/>
      </c>
      <c r="M145" s="11">
        <f>IF(B145="","",IF(G145&lt;=0,"Pagado",IF(K145&gt;L145,"Atrasado","Al dia")))</f>
        <v/>
      </c>
    </row>
    <row r="146">
      <c r="A146" s="11">
        <f>IF(B146="","","P"&amp;TEXT(ROW()-1,"000"))</f>
        <v/>
      </c>
      <c r="B146" s="12" t="n"/>
      <c r="C146" s="13" t="n"/>
      <c r="D146" s="14" t="n"/>
      <c r="E146" s="15" t="n"/>
      <c r="F146" s="12" t="n"/>
      <c r="G146" s="16">
        <f>IF(B146="","",D146-SUMIFS(Pagos!$H:$H,Pagos!$B:$B,A146))</f>
        <v/>
      </c>
      <c r="H146" s="16">
        <f>IF(B146="","",SUMIFS(Pagos!$E:$E,Pagos!$B:$B,A146))</f>
        <v/>
      </c>
      <c r="I146" s="16">
        <f>IF(B146="","",SUMIFS(Pagos!$G:$G,Pagos!$B:$B,A146))</f>
        <v/>
      </c>
      <c r="J146" s="17">
        <f>IF(B146="","",IF(COUNTIF(Pagos!$B:$B,A146)=0,"",_xlfn.MAXIFS(Pagos!$D:$D,Pagos!$B:$B,A146)))</f>
        <v/>
      </c>
      <c r="K146" s="11">
        <f>IF(B146="","",IF(J146="",TODAY()-C146,TODAY()-J146))</f>
        <v/>
      </c>
      <c r="L146" s="11">
        <f>IF(B146="","",IF(F146="Diario",1,IF(F146="Semanal",7,IF(F146="Quincenal",15,IF(F146="Mensual",30,30))))+Resumen!$B$2)</f>
        <v/>
      </c>
      <c r="M146" s="11">
        <f>IF(B146="","",IF(G146&lt;=0,"Pagado",IF(K146&gt;L146,"Atrasado","Al dia")))</f>
        <v/>
      </c>
    </row>
    <row r="147">
      <c r="A147" s="11">
        <f>IF(B147="","","P"&amp;TEXT(ROW()-1,"000"))</f>
        <v/>
      </c>
      <c r="B147" s="12" t="n"/>
      <c r="C147" s="13" t="n"/>
      <c r="D147" s="14" t="n"/>
      <c r="E147" s="15" t="n"/>
      <c r="F147" s="12" t="n"/>
      <c r="G147" s="16">
        <f>IF(B147="","",D147-SUMIFS(Pagos!$H:$H,Pagos!$B:$B,A147))</f>
        <v/>
      </c>
      <c r="H147" s="16">
        <f>IF(B147="","",SUMIFS(Pagos!$E:$E,Pagos!$B:$B,A147))</f>
        <v/>
      </c>
      <c r="I147" s="16">
        <f>IF(B147="","",SUMIFS(Pagos!$G:$G,Pagos!$B:$B,A147))</f>
        <v/>
      </c>
      <c r="J147" s="17">
        <f>IF(B147="","",IF(COUNTIF(Pagos!$B:$B,A147)=0,"",_xlfn.MAXIFS(Pagos!$D:$D,Pagos!$B:$B,A147)))</f>
        <v/>
      </c>
      <c r="K147" s="11">
        <f>IF(B147="","",IF(J147="",TODAY()-C147,TODAY()-J147))</f>
        <v/>
      </c>
      <c r="L147" s="11">
        <f>IF(B147="","",IF(F147="Diario",1,IF(F147="Semanal",7,IF(F147="Quincenal",15,IF(F147="Mensual",30,30))))+Resumen!$B$2)</f>
        <v/>
      </c>
      <c r="M147" s="11">
        <f>IF(B147="","",IF(G147&lt;=0,"Pagado",IF(K147&gt;L147,"Atrasado","Al dia")))</f>
        <v/>
      </c>
    </row>
    <row r="148">
      <c r="A148" s="11">
        <f>IF(B148="","","P"&amp;TEXT(ROW()-1,"000"))</f>
        <v/>
      </c>
      <c r="B148" s="12" t="n"/>
      <c r="C148" s="13" t="n"/>
      <c r="D148" s="14" t="n"/>
      <c r="E148" s="15" t="n"/>
      <c r="F148" s="12" t="n"/>
      <c r="G148" s="16">
        <f>IF(B148="","",D148-SUMIFS(Pagos!$H:$H,Pagos!$B:$B,A148))</f>
        <v/>
      </c>
      <c r="H148" s="16">
        <f>IF(B148="","",SUMIFS(Pagos!$E:$E,Pagos!$B:$B,A148))</f>
        <v/>
      </c>
      <c r="I148" s="16">
        <f>IF(B148="","",SUMIFS(Pagos!$G:$G,Pagos!$B:$B,A148))</f>
        <v/>
      </c>
      <c r="J148" s="17">
        <f>IF(B148="","",IF(COUNTIF(Pagos!$B:$B,A148)=0,"",_xlfn.MAXIFS(Pagos!$D:$D,Pagos!$B:$B,A148)))</f>
        <v/>
      </c>
      <c r="K148" s="11">
        <f>IF(B148="","",IF(J148="",TODAY()-C148,TODAY()-J148))</f>
        <v/>
      </c>
      <c r="L148" s="11">
        <f>IF(B148="","",IF(F148="Diario",1,IF(F148="Semanal",7,IF(F148="Quincenal",15,IF(F148="Mensual",30,30))))+Resumen!$B$2)</f>
        <v/>
      </c>
      <c r="M148" s="11">
        <f>IF(B148="","",IF(G148&lt;=0,"Pagado",IF(K148&gt;L148,"Atrasado","Al dia")))</f>
        <v/>
      </c>
    </row>
    <row r="149">
      <c r="A149" s="11">
        <f>IF(B149="","","P"&amp;TEXT(ROW()-1,"000"))</f>
        <v/>
      </c>
      <c r="B149" s="12" t="n"/>
      <c r="C149" s="13" t="n"/>
      <c r="D149" s="14" t="n"/>
      <c r="E149" s="15" t="n"/>
      <c r="F149" s="12" t="n"/>
      <c r="G149" s="16">
        <f>IF(B149="","",D149-SUMIFS(Pagos!$H:$H,Pagos!$B:$B,A149))</f>
        <v/>
      </c>
      <c r="H149" s="16">
        <f>IF(B149="","",SUMIFS(Pagos!$E:$E,Pagos!$B:$B,A149))</f>
        <v/>
      </c>
      <c r="I149" s="16">
        <f>IF(B149="","",SUMIFS(Pagos!$G:$G,Pagos!$B:$B,A149))</f>
        <v/>
      </c>
      <c r="J149" s="17">
        <f>IF(B149="","",IF(COUNTIF(Pagos!$B:$B,A149)=0,"",_xlfn.MAXIFS(Pagos!$D:$D,Pagos!$B:$B,A149)))</f>
        <v/>
      </c>
      <c r="K149" s="11">
        <f>IF(B149="","",IF(J149="",TODAY()-C149,TODAY()-J149))</f>
        <v/>
      </c>
      <c r="L149" s="11">
        <f>IF(B149="","",IF(F149="Diario",1,IF(F149="Semanal",7,IF(F149="Quincenal",15,IF(F149="Mensual",30,30))))+Resumen!$B$2)</f>
        <v/>
      </c>
      <c r="M149" s="11">
        <f>IF(B149="","",IF(G149&lt;=0,"Pagado",IF(K149&gt;L149,"Atrasado","Al dia")))</f>
        <v/>
      </c>
    </row>
    <row r="150">
      <c r="A150" s="11">
        <f>IF(B150="","","P"&amp;TEXT(ROW()-1,"000"))</f>
        <v/>
      </c>
      <c r="B150" s="12" t="n"/>
      <c r="C150" s="13" t="n"/>
      <c r="D150" s="14" t="n"/>
      <c r="E150" s="15" t="n"/>
      <c r="F150" s="12" t="n"/>
      <c r="G150" s="16">
        <f>IF(B150="","",D150-SUMIFS(Pagos!$H:$H,Pagos!$B:$B,A150))</f>
        <v/>
      </c>
      <c r="H150" s="16">
        <f>IF(B150="","",SUMIFS(Pagos!$E:$E,Pagos!$B:$B,A150))</f>
        <v/>
      </c>
      <c r="I150" s="16">
        <f>IF(B150="","",SUMIFS(Pagos!$G:$G,Pagos!$B:$B,A150))</f>
        <v/>
      </c>
      <c r="J150" s="17">
        <f>IF(B150="","",IF(COUNTIF(Pagos!$B:$B,A150)=0,"",_xlfn.MAXIFS(Pagos!$D:$D,Pagos!$B:$B,A150)))</f>
        <v/>
      </c>
      <c r="K150" s="11">
        <f>IF(B150="","",IF(J150="",TODAY()-C150,TODAY()-J150))</f>
        <v/>
      </c>
      <c r="L150" s="11">
        <f>IF(B150="","",IF(F150="Diario",1,IF(F150="Semanal",7,IF(F150="Quincenal",15,IF(F150="Mensual",30,30))))+Resumen!$B$2)</f>
        <v/>
      </c>
      <c r="M150" s="11">
        <f>IF(B150="","",IF(G150&lt;=0,"Pagado",IF(K150&gt;L150,"Atrasado","Al dia")))</f>
        <v/>
      </c>
    </row>
    <row r="151">
      <c r="A151" s="11">
        <f>IF(B151="","","P"&amp;TEXT(ROW()-1,"000"))</f>
        <v/>
      </c>
      <c r="B151" s="12" t="n"/>
      <c r="C151" s="13" t="n"/>
      <c r="D151" s="14" t="n"/>
      <c r="E151" s="15" t="n"/>
      <c r="F151" s="12" t="n"/>
      <c r="G151" s="16">
        <f>IF(B151="","",D151-SUMIFS(Pagos!$H:$H,Pagos!$B:$B,A151))</f>
        <v/>
      </c>
      <c r="H151" s="16">
        <f>IF(B151="","",SUMIFS(Pagos!$E:$E,Pagos!$B:$B,A151))</f>
        <v/>
      </c>
      <c r="I151" s="16">
        <f>IF(B151="","",SUMIFS(Pagos!$G:$G,Pagos!$B:$B,A151))</f>
        <v/>
      </c>
      <c r="J151" s="17">
        <f>IF(B151="","",IF(COUNTIF(Pagos!$B:$B,A151)=0,"",_xlfn.MAXIFS(Pagos!$D:$D,Pagos!$B:$B,A151)))</f>
        <v/>
      </c>
      <c r="K151" s="11">
        <f>IF(B151="","",IF(J151="",TODAY()-C151,TODAY()-J151))</f>
        <v/>
      </c>
      <c r="L151" s="11">
        <f>IF(B151="","",IF(F151="Diario",1,IF(F151="Semanal",7,IF(F151="Quincenal",15,IF(F151="Mensual",30,30))))+Resumen!$B$2)</f>
        <v/>
      </c>
      <c r="M151" s="11">
        <f>IF(B151="","",IF(G151&lt;=0,"Pagado",IF(K151&gt;L151,"Atrasado","Al dia")))</f>
        <v/>
      </c>
    </row>
    <row r="152">
      <c r="A152" s="11">
        <f>IF(B152="","","P"&amp;TEXT(ROW()-1,"000"))</f>
        <v/>
      </c>
      <c r="B152" s="12" t="n"/>
      <c r="C152" s="13" t="n"/>
      <c r="D152" s="14" t="n"/>
      <c r="E152" s="15" t="n"/>
      <c r="F152" s="12" t="n"/>
      <c r="G152" s="16">
        <f>IF(B152="","",D152-SUMIFS(Pagos!$H:$H,Pagos!$B:$B,A152))</f>
        <v/>
      </c>
      <c r="H152" s="16">
        <f>IF(B152="","",SUMIFS(Pagos!$E:$E,Pagos!$B:$B,A152))</f>
        <v/>
      </c>
      <c r="I152" s="16">
        <f>IF(B152="","",SUMIFS(Pagos!$G:$G,Pagos!$B:$B,A152))</f>
        <v/>
      </c>
      <c r="J152" s="17">
        <f>IF(B152="","",IF(COUNTIF(Pagos!$B:$B,A152)=0,"",_xlfn.MAXIFS(Pagos!$D:$D,Pagos!$B:$B,A152)))</f>
        <v/>
      </c>
      <c r="K152" s="11">
        <f>IF(B152="","",IF(J152="",TODAY()-C152,TODAY()-J152))</f>
        <v/>
      </c>
      <c r="L152" s="11">
        <f>IF(B152="","",IF(F152="Diario",1,IF(F152="Semanal",7,IF(F152="Quincenal",15,IF(F152="Mensual",30,30))))+Resumen!$B$2)</f>
        <v/>
      </c>
      <c r="M152" s="11">
        <f>IF(B152="","",IF(G152&lt;=0,"Pagado",IF(K152&gt;L152,"Atrasado","Al dia")))</f>
        <v/>
      </c>
    </row>
    <row r="153">
      <c r="A153" s="11">
        <f>IF(B153="","","P"&amp;TEXT(ROW()-1,"000"))</f>
        <v/>
      </c>
      <c r="B153" s="12" t="n"/>
      <c r="C153" s="13" t="n"/>
      <c r="D153" s="14" t="n"/>
      <c r="E153" s="15" t="n"/>
      <c r="F153" s="12" t="n"/>
      <c r="G153" s="16">
        <f>IF(B153="","",D153-SUMIFS(Pagos!$H:$H,Pagos!$B:$B,A153))</f>
        <v/>
      </c>
      <c r="H153" s="16">
        <f>IF(B153="","",SUMIFS(Pagos!$E:$E,Pagos!$B:$B,A153))</f>
        <v/>
      </c>
      <c r="I153" s="16">
        <f>IF(B153="","",SUMIFS(Pagos!$G:$G,Pagos!$B:$B,A153))</f>
        <v/>
      </c>
      <c r="J153" s="17">
        <f>IF(B153="","",IF(COUNTIF(Pagos!$B:$B,A153)=0,"",_xlfn.MAXIFS(Pagos!$D:$D,Pagos!$B:$B,A153)))</f>
        <v/>
      </c>
      <c r="K153" s="11">
        <f>IF(B153="","",IF(J153="",TODAY()-C153,TODAY()-J153))</f>
        <v/>
      </c>
      <c r="L153" s="11">
        <f>IF(B153="","",IF(F153="Diario",1,IF(F153="Semanal",7,IF(F153="Quincenal",15,IF(F153="Mensual",30,30))))+Resumen!$B$2)</f>
        <v/>
      </c>
      <c r="M153" s="11">
        <f>IF(B153="","",IF(G153&lt;=0,"Pagado",IF(K153&gt;L153,"Atrasado","Al dia")))</f>
        <v/>
      </c>
    </row>
    <row r="154">
      <c r="A154" s="11">
        <f>IF(B154="","","P"&amp;TEXT(ROW()-1,"000"))</f>
        <v/>
      </c>
      <c r="B154" s="12" t="n"/>
      <c r="C154" s="13" t="n"/>
      <c r="D154" s="14" t="n"/>
      <c r="E154" s="15" t="n"/>
      <c r="F154" s="12" t="n"/>
      <c r="G154" s="16">
        <f>IF(B154="","",D154-SUMIFS(Pagos!$H:$H,Pagos!$B:$B,A154))</f>
        <v/>
      </c>
      <c r="H154" s="16">
        <f>IF(B154="","",SUMIFS(Pagos!$E:$E,Pagos!$B:$B,A154))</f>
        <v/>
      </c>
      <c r="I154" s="16">
        <f>IF(B154="","",SUMIFS(Pagos!$G:$G,Pagos!$B:$B,A154))</f>
        <v/>
      </c>
      <c r="J154" s="17">
        <f>IF(B154="","",IF(COUNTIF(Pagos!$B:$B,A154)=0,"",_xlfn.MAXIFS(Pagos!$D:$D,Pagos!$B:$B,A154)))</f>
        <v/>
      </c>
      <c r="K154" s="11">
        <f>IF(B154="","",IF(J154="",TODAY()-C154,TODAY()-J154))</f>
        <v/>
      </c>
      <c r="L154" s="11">
        <f>IF(B154="","",IF(F154="Diario",1,IF(F154="Semanal",7,IF(F154="Quincenal",15,IF(F154="Mensual",30,30))))+Resumen!$B$2)</f>
        <v/>
      </c>
      <c r="M154" s="11">
        <f>IF(B154="","",IF(G154&lt;=0,"Pagado",IF(K154&gt;L154,"Atrasado","Al dia")))</f>
        <v/>
      </c>
    </row>
    <row r="155">
      <c r="A155" s="11">
        <f>IF(B155="","","P"&amp;TEXT(ROW()-1,"000"))</f>
        <v/>
      </c>
      <c r="B155" s="12" t="n"/>
      <c r="C155" s="13" t="n"/>
      <c r="D155" s="14" t="n"/>
      <c r="E155" s="15" t="n"/>
      <c r="F155" s="12" t="n"/>
      <c r="G155" s="16">
        <f>IF(B155="","",D155-SUMIFS(Pagos!$H:$H,Pagos!$B:$B,A155))</f>
        <v/>
      </c>
      <c r="H155" s="16">
        <f>IF(B155="","",SUMIFS(Pagos!$E:$E,Pagos!$B:$B,A155))</f>
        <v/>
      </c>
      <c r="I155" s="16">
        <f>IF(B155="","",SUMIFS(Pagos!$G:$G,Pagos!$B:$B,A155))</f>
        <v/>
      </c>
      <c r="J155" s="17">
        <f>IF(B155="","",IF(COUNTIF(Pagos!$B:$B,A155)=0,"",_xlfn.MAXIFS(Pagos!$D:$D,Pagos!$B:$B,A155)))</f>
        <v/>
      </c>
      <c r="K155" s="11">
        <f>IF(B155="","",IF(J155="",TODAY()-C155,TODAY()-J155))</f>
        <v/>
      </c>
      <c r="L155" s="11">
        <f>IF(B155="","",IF(F155="Diario",1,IF(F155="Semanal",7,IF(F155="Quincenal",15,IF(F155="Mensual",30,30))))+Resumen!$B$2)</f>
        <v/>
      </c>
      <c r="M155" s="11">
        <f>IF(B155="","",IF(G155&lt;=0,"Pagado",IF(K155&gt;L155,"Atrasado","Al dia")))</f>
        <v/>
      </c>
    </row>
    <row r="156">
      <c r="A156" s="11">
        <f>IF(B156="","","P"&amp;TEXT(ROW()-1,"000"))</f>
        <v/>
      </c>
      <c r="B156" s="12" t="n"/>
      <c r="C156" s="13" t="n"/>
      <c r="D156" s="14" t="n"/>
      <c r="E156" s="15" t="n"/>
      <c r="F156" s="12" t="n"/>
      <c r="G156" s="16">
        <f>IF(B156="","",D156-SUMIFS(Pagos!$H:$H,Pagos!$B:$B,A156))</f>
        <v/>
      </c>
      <c r="H156" s="16">
        <f>IF(B156="","",SUMIFS(Pagos!$E:$E,Pagos!$B:$B,A156))</f>
        <v/>
      </c>
      <c r="I156" s="16">
        <f>IF(B156="","",SUMIFS(Pagos!$G:$G,Pagos!$B:$B,A156))</f>
        <v/>
      </c>
      <c r="J156" s="17">
        <f>IF(B156="","",IF(COUNTIF(Pagos!$B:$B,A156)=0,"",_xlfn.MAXIFS(Pagos!$D:$D,Pagos!$B:$B,A156)))</f>
        <v/>
      </c>
      <c r="K156" s="11">
        <f>IF(B156="","",IF(J156="",TODAY()-C156,TODAY()-J156))</f>
        <v/>
      </c>
      <c r="L156" s="11">
        <f>IF(B156="","",IF(F156="Diario",1,IF(F156="Semanal",7,IF(F156="Quincenal",15,IF(F156="Mensual",30,30))))+Resumen!$B$2)</f>
        <v/>
      </c>
      <c r="M156" s="11">
        <f>IF(B156="","",IF(G156&lt;=0,"Pagado",IF(K156&gt;L156,"Atrasado","Al dia")))</f>
        <v/>
      </c>
    </row>
    <row r="157">
      <c r="A157" s="11">
        <f>IF(B157="","","P"&amp;TEXT(ROW()-1,"000"))</f>
        <v/>
      </c>
      <c r="B157" s="12" t="n"/>
      <c r="C157" s="13" t="n"/>
      <c r="D157" s="14" t="n"/>
      <c r="E157" s="15" t="n"/>
      <c r="F157" s="12" t="n"/>
      <c r="G157" s="16">
        <f>IF(B157="","",D157-SUMIFS(Pagos!$H:$H,Pagos!$B:$B,A157))</f>
        <v/>
      </c>
      <c r="H157" s="16">
        <f>IF(B157="","",SUMIFS(Pagos!$E:$E,Pagos!$B:$B,A157))</f>
        <v/>
      </c>
      <c r="I157" s="16">
        <f>IF(B157="","",SUMIFS(Pagos!$G:$G,Pagos!$B:$B,A157))</f>
        <v/>
      </c>
      <c r="J157" s="17">
        <f>IF(B157="","",IF(COUNTIF(Pagos!$B:$B,A157)=0,"",_xlfn.MAXIFS(Pagos!$D:$D,Pagos!$B:$B,A157)))</f>
        <v/>
      </c>
      <c r="K157" s="11">
        <f>IF(B157="","",IF(J157="",TODAY()-C157,TODAY()-J157))</f>
        <v/>
      </c>
      <c r="L157" s="11">
        <f>IF(B157="","",IF(F157="Diario",1,IF(F157="Semanal",7,IF(F157="Quincenal",15,IF(F157="Mensual",30,30))))+Resumen!$B$2)</f>
        <v/>
      </c>
      <c r="M157" s="11">
        <f>IF(B157="","",IF(G157&lt;=0,"Pagado",IF(K157&gt;L157,"Atrasado","Al dia")))</f>
        <v/>
      </c>
    </row>
    <row r="158">
      <c r="A158" s="11">
        <f>IF(B158="","","P"&amp;TEXT(ROW()-1,"000"))</f>
        <v/>
      </c>
      <c r="B158" s="12" t="n"/>
      <c r="C158" s="13" t="n"/>
      <c r="D158" s="14" t="n"/>
      <c r="E158" s="15" t="n"/>
      <c r="F158" s="12" t="n"/>
      <c r="G158" s="16">
        <f>IF(B158="","",D158-SUMIFS(Pagos!$H:$H,Pagos!$B:$B,A158))</f>
        <v/>
      </c>
      <c r="H158" s="16">
        <f>IF(B158="","",SUMIFS(Pagos!$E:$E,Pagos!$B:$B,A158))</f>
        <v/>
      </c>
      <c r="I158" s="16">
        <f>IF(B158="","",SUMIFS(Pagos!$G:$G,Pagos!$B:$B,A158))</f>
        <v/>
      </c>
      <c r="J158" s="17">
        <f>IF(B158="","",IF(COUNTIF(Pagos!$B:$B,A158)=0,"",_xlfn.MAXIFS(Pagos!$D:$D,Pagos!$B:$B,A158)))</f>
        <v/>
      </c>
      <c r="K158" s="11">
        <f>IF(B158="","",IF(J158="",TODAY()-C158,TODAY()-J158))</f>
        <v/>
      </c>
      <c r="L158" s="11">
        <f>IF(B158="","",IF(F158="Diario",1,IF(F158="Semanal",7,IF(F158="Quincenal",15,IF(F158="Mensual",30,30))))+Resumen!$B$2)</f>
        <v/>
      </c>
      <c r="M158" s="11">
        <f>IF(B158="","",IF(G158&lt;=0,"Pagado",IF(K158&gt;L158,"Atrasado","Al dia")))</f>
        <v/>
      </c>
    </row>
    <row r="159">
      <c r="A159" s="11">
        <f>IF(B159="","","P"&amp;TEXT(ROW()-1,"000"))</f>
        <v/>
      </c>
      <c r="B159" s="12" t="n"/>
      <c r="C159" s="13" t="n"/>
      <c r="D159" s="14" t="n"/>
      <c r="E159" s="15" t="n"/>
      <c r="F159" s="12" t="n"/>
      <c r="G159" s="16">
        <f>IF(B159="","",D159-SUMIFS(Pagos!$H:$H,Pagos!$B:$B,A159))</f>
        <v/>
      </c>
      <c r="H159" s="16">
        <f>IF(B159="","",SUMIFS(Pagos!$E:$E,Pagos!$B:$B,A159))</f>
        <v/>
      </c>
      <c r="I159" s="16">
        <f>IF(B159="","",SUMIFS(Pagos!$G:$G,Pagos!$B:$B,A159))</f>
        <v/>
      </c>
      <c r="J159" s="17">
        <f>IF(B159="","",IF(COUNTIF(Pagos!$B:$B,A159)=0,"",_xlfn.MAXIFS(Pagos!$D:$D,Pagos!$B:$B,A159)))</f>
        <v/>
      </c>
      <c r="K159" s="11">
        <f>IF(B159="","",IF(J159="",TODAY()-C159,TODAY()-J159))</f>
        <v/>
      </c>
      <c r="L159" s="11">
        <f>IF(B159="","",IF(F159="Diario",1,IF(F159="Semanal",7,IF(F159="Quincenal",15,IF(F159="Mensual",30,30))))+Resumen!$B$2)</f>
        <v/>
      </c>
      <c r="M159" s="11">
        <f>IF(B159="","",IF(G159&lt;=0,"Pagado",IF(K159&gt;L159,"Atrasado","Al dia")))</f>
        <v/>
      </c>
    </row>
    <row r="160">
      <c r="A160" s="11">
        <f>IF(B160="","","P"&amp;TEXT(ROW()-1,"000"))</f>
        <v/>
      </c>
      <c r="B160" s="12" t="n"/>
      <c r="C160" s="13" t="n"/>
      <c r="D160" s="14" t="n"/>
      <c r="E160" s="15" t="n"/>
      <c r="F160" s="12" t="n"/>
      <c r="G160" s="16">
        <f>IF(B160="","",D160-SUMIFS(Pagos!$H:$H,Pagos!$B:$B,A160))</f>
        <v/>
      </c>
      <c r="H160" s="16">
        <f>IF(B160="","",SUMIFS(Pagos!$E:$E,Pagos!$B:$B,A160))</f>
        <v/>
      </c>
      <c r="I160" s="16">
        <f>IF(B160="","",SUMIFS(Pagos!$G:$G,Pagos!$B:$B,A160))</f>
        <v/>
      </c>
      <c r="J160" s="17">
        <f>IF(B160="","",IF(COUNTIF(Pagos!$B:$B,A160)=0,"",_xlfn.MAXIFS(Pagos!$D:$D,Pagos!$B:$B,A160)))</f>
        <v/>
      </c>
      <c r="K160" s="11">
        <f>IF(B160="","",IF(J160="",TODAY()-C160,TODAY()-J160))</f>
        <v/>
      </c>
      <c r="L160" s="11">
        <f>IF(B160="","",IF(F160="Diario",1,IF(F160="Semanal",7,IF(F160="Quincenal",15,IF(F160="Mensual",30,30))))+Resumen!$B$2)</f>
        <v/>
      </c>
      <c r="M160" s="11">
        <f>IF(B160="","",IF(G160&lt;=0,"Pagado",IF(K160&gt;L160,"Atrasado","Al dia")))</f>
        <v/>
      </c>
    </row>
    <row r="161">
      <c r="A161" s="11">
        <f>IF(B161="","","P"&amp;TEXT(ROW()-1,"000"))</f>
        <v/>
      </c>
      <c r="B161" s="12" t="n"/>
      <c r="C161" s="13" t="n"/>
      <c r="D161" s="14" t="n"/>
      <c r="E161" s="15" t="n"/>
      <c r="F161" s="12" t="n"/>
      <c r="G161" s="16">
        <f>IF(B161="","",D161-SUMIFS(Pagos!$H:$H,Pagos!$B:$B,A161))</f>
        <v/>
      </c>
      <c r="H161" s="16">
        <f>IF(B161="","",SUMIFS(Pagos!$E:$E,Pagos!$B:$B,A161))</f>
        <v/>
      </c>
      <c r="I161" s="16">
        <f>IF(B161="","",SUMIFS(Pagos!$G:$G,Pagos!$B:$B,A161))</f>
        <v/>
      </c>
      <c r="J161" s="17">
        <f>IF(B161="","",IF(COUNTIF(Pagos!$B:$B,A161)=0,"",_xlfn.MAXIFS(Pagos!$D:$D,Pagos!$B:$B,A161)))</f>
        <v/>
      </c>
      <c r="K161" s="11">
        <f>IF(B161="","",IF(J161="",TODAY()-C161,TODAY()-J161))</f>
        <v/>
      </c>
      <c r="L161" s="11">
        <f>IF(B161="","",IF(F161="Diario",1,IF(F161="Semanal",7,IF(F161="Quincenal",15,IF(F161="Mensual",30,30))))+Resumen!$B$2)</f>
        <v/>
      </c>
      <c r="M161" s="11">
        <f>IF(B161="","",IF(G161&lt;=0,"Pagado",IF(K161&gt;L161,"Atrasado","Al dia")))</f>
        <v/>
      </c>
    </row>
    <row r="162">
      <c r="A162" s="11">
        <f>IF(B162="","","P"&amp;TEXT(ROW()-1,"000"))</f>
        <v/>
      </c>
      <c r="B162" s="12" t="n"/>
      <c r="C162" s="13" t="n"/>
      <c r="D162" s="14" t="n"/>
      <c r="E162" s="15" t="n"/>
      <c r="F162" s="12" t="n"/>
      <c r="G162" s="16">
        <f>IF(B162="","",D162-SUMIFS(Pagos!$H:$H,Pagos!$B:$B,A162))</f>
        <v/>
      </c>
      <c r="H162" s="16">
        <f>IF(B162="","",SUMIFS(Pagos!$E:$E,Pagos!$B:$B,A162))</f>
        <v/>
      </c>
      <c r="I162" s="16">
        <f>IF(B162="","",SUMIFS(Pagos!$G:$G,Pagos!$B:$B,A162))</f>
        <v/>
      </c>
      <c r="J162" s="17">
        <f>IF(B162="","",IF(COUNTIF(Pagos!$B:$B,A162)=0,"",_xlfn.MAXIFS(Pagos!$D:$D,Pagos!$B:$B,A162)))</f>
        <v/>
      </c>
      <c r="K162" s="11">
        <f>IF(B162="","",IF(J162="",TODAY()-C162,TODAY()-J162))</f>
        <v/>
      </c>
      <c r="L162" s="11">
        <f>IF(B162="","",IF(F162="Diario",1,IF(F162="Semanal",7,IF(F162="Quincenal",15,IF(F162="Mensual",30,30))))+Resumen!$B$2)</f>
        <v/>
      </c>
      <c r="M162" s="11">
        <f>IF(B162="","",IF(G162&lt;=0,"Pagado",IF(K162&gt;L162,"Atrasado","Al dia")))</f>
        <v/>
      </c>
    </row>
    <row r="163">
      <c r="A163" s="11">
        <f>IF(B163="","","P"&amp;TEXT(ROW()-1,"000"))</f>
        <v/>
      </c>
      <c r="B163" s="12" t="n"/>
      <c r="C163" s="13" t="n"/>
      <c r="D163" s="14" t="n"/>
      <c r="E163" s="15" t="n"/>
      <c r="F163" s="12" t="n"/>
      <c r="G163" s="16">
        <f>IF(B163="","",D163-SUMIFS(Pagos!$H:$H,Pagos!$B:$B,A163))</f>
        <v/>
      </c>
      <c r="H163" s="16">
        <f>IF(B163="","",SUMIFS(Pagos!$E:$E,Pagos!$B:$B,A163))</f>
        <v/>
      </c>
      <c r="I163" s="16">
        <f>IF(B163="","",SUMIFS(Pagos!$G:$G,Pagos!$B:$B,A163))</f>
        <v/>
      </c>
      <c r="J163" s="17">
        <f>IF(B163="","",IF(COUNTIF(Pagos!$B:$B,A163)=0,"",_xlfn.MAXIFS(Pagos!$D:$D,Pagos!$B:$B,A163)))</f>
        <v/>
      </c>
      <c r="K163" s="11">
        <f>IF(B163="","",IF(J163="",TODAY()-C163,TODAY()-J163))</f>
        <v/>
      </c>
      <c r="L163" s="11">
        <f>IF(B163="","",IF(F163="Diario",1,IF(F163="Semanal",7,IF(F163="Quincenal",15,IF(F163="Mensual",30,30))))+Resumen!$B$2)</f>
        <v/>
      </c>
      <c r="M163" s="11">
        <f>IF(B163="","",IF(G163&lt;=0,"Pagado",IF(K163&gt;L163,"Atrasado","Al dia")))</f>
        <v/>
      </c>
    </row>
    <row r="164">
      <c r="A164" s="11">
        <f>IF(B164="","","P"&amp;TEXT(ROW()-1,"000"))</f>
        <v/>
      </c>
      <c r="B164" s="12" t="n"/>
      <c r="C164" s="13" t="n"/>
      <c r="D164" s="14" t="n"/>
      <c r="E164" s="15" t="n"/>
      <c r="F164" s="12" t="n"/>
      <c r="G164" s="16">
        <f>IF(B164="","",D164-SUMIFS(Pagos!$H:$H,Pagos!$B:$B,A164))</f>
        <v/>
      </c>
      <c r="H164" s="16">
        <f>IF(B164="","",SUMIFS(Pagos!$E:$E,Pagos!$B:$B,A164))</f>
        <v/>
      </c>
      <c r="I164" s="16">
        <f>IF(B164="","",SUMIFS(Pagos!$G:$G,Pagos!$B:$B,A164))</f>
        <v/>
      </c>
      <c r="J164" s="17">
        <f>IF(B164="","",IF(COUNTIF(Pagos!$B:$B,A164)=0,"",_xlfn.MAXIFS(Pagos!$D:$D,Pagos!$B:$B,A164)))</f>
        <v/>
      </c>
      <c r="K164" s="11">
        <f>IF(B164="","",IF(J164="",TODAY()-C164,TODAY()-J164))</f>
        <v/>
      </c>
      <c r="L164" s="11">
        <f>IF(B164="","",IF(F164="Diario",1,IF(F164="Semanal",7,IF(F164="Quincenal",15,IF(F164="Mensual",30,30))))+Resumen!$B$2)</f>
        <v/>
      </c>
      <c r="M164" s="11">
        <f>IF(B164="","",IF(G164&lt;=0,"Pagado",IF(K164&gt;L164,"Atrasado","Al dia")))</f>
        <v/>
      </c>
    </row>
    <row r="165">
      <c r="A165" s="11">
        <f>IF(B165="","","P"&amp;TEXT(ROW()-1,"000"))</f>
        <v/>
      </c>
      <c r="B165" s="12" t="n"/>
      <c r="C165" s="13" t="n"/>
      <c r="D165" s="14" t="n"/>
      <c r="E165" s="15" t="n"/>
      <c r="F165" s="12" t="n"/>
      <c r="G165" s="16">
        <f>IF(B165="","",D165-SUMIFS(Pagos!$H:$H,Pagos!$B:$B,A165))</f>
        <v/>
      </c>
      <c r="H165" s="16">
        <f>IF(B165="","",SUMIFS(Pagos!$E:$E,Pagos!$B:$B,A165))</f>
        <v/>
      </c>
      <c r="I165" s="16">
        <f>IF(B165="","",SUMIFS(Pagos!$G:$G,Pagos!$B:$B,A165))</f>
        <v/>
      </c>
      <c r="J165" s="17">
        <f>IF(B165="","",IF(COUNTIF(Pagos!$B:$B,A165)=0,"",_xlfn.MAXIFS(Pagos!$D:$D,Pagos!$B:$B,A165)))</f>
        <v/>
      </c>
      <c r="K165" s="11">
        <f>IF(B165="","",IF(J165="",TODAY()-C165,TODAY()-J165))</f>
        <v/>
      </c>
      <c r="L165" s="11">
        <f>IF(B165="","",IF(F165="Diario",1,IF(F165="Semanal",7,IF(F165="Quincenal",15,IF(F165="Mensual",30,30))))+Resumen!$B$2)</f>
        <v/>
      </c>
      <c r="M165" s="11">
        <f>IF(B165="","",IF(G165&lt;=0,"Pagado",IF(K165&gt;L165,"Atrasado","Al dia")))</f>
        <v/>
      </c>
    </row>
    <row r="166">
      <c r="A166" s="11">
        <f>IF(B166="","","P"&amp;TEXT(ROW()-1,"000"))</f>
        <v/>
      </c>
      <c r="B166" s="12" t="n"/>
      <c r="C166" s="13" t="n"/>
      <c r="D166" s="14" t="n"/>
      <c r="E166" s="15" t="n"/>
      <c r="F166" s="12" t="n"/>
      <c r="G166" s="16">
        <f>IF(B166="","",D166-SUMIFS(Pagos!$H:$H,Pagos!$B:$B,A166))</f>
        <v/>
      </c>
      <c r="H166" s="16">
        <f>IF(B166="","",SUMIFS(Pagos!$E:$E,Pagos!$B:$B,A166))</f>
        <v/>
      </c>
      <c r="I166" s="16">
        <f>IF(B166="","",SUMIFS(Pagos!$G:$G,Pagos!$B:$B,A166))</f>
        <v/>
      </c>
      <c r="J166" s="17">
        <f>IF(B166="","",IF(COUNTIF(Pagos!$B:$B,A166)=0,"",_xlfn.MAXIFS(Pagos!$D:$D,Pagos!$B:$B,A166)))</f>
        <v/>
      </c>
      <c r="K166" s="11">
        <f>IF(B166="","",IF(J166="",TODAY()-C166,TODAY()-J166))</f>
        <v/>
      </c>
      <c r="L166" s="11">
        <f>IF(B166="","",IF(F166="Diario",1,IF(F166="Semanal",7,IF(F166="Quincenal",15,IF(F166="Mensual",30,30))))+Resumen!$B$2)</f>
        <v/>
      </c>
      <c r="M166" s="11">
        <f>IF(B166="","",IF(G166&lt;=0,"Pagado",IF(K166&gt;L166,"Atrasado","Al dia")))</f>
        <v/>
      </c>
    </row>
    <row r="167">
      <c r="A167" s="11">
        <f>IF(B167="","","P"&amp;TEXT(ROW()-1,"000"))</f>
        <v/>
      </c>
      <c r="B167" s="12" t="n"/>
      <c r="C167" s="13" t="n"/>
      <c r="D167" s="14" t="n"/>
      <c r="E167" s="15" t="n"/>
      <c r="F167" s="12" t="n"/>
      <c r="G167" s="16">
        <f>IF(B167="","",D167-SUMIFS(Pagos!$H:$H,Pagos!$B:$B,A167))</f>
        <v/>
      </c>
      <c r="H167" s="16">
        <f>IF(B167="","",SUMIFS(Pagos!$E:$E,Pagos!$B:$B,A167))</f>
        <v/>
      </c>
      <c r="I167" s="16">
        <f>IF(B167="","",SUMIFS(Pagos!$G:$G,Pagos!$B:$B,A167))</f>
        <v/>
      </c>
      <c r="J167" s="17">
        <f>IF(B167="","",IF(COUNTIF(Pagos!$B:$B,A167)=0,"",_xlfn.MAXIFS(Pagos!$D:$D,Pagos!$B:$B,A167)))</f>
        <v/>
      </c>
      <c r="K167" s="11">
        <f>IF(B167="","",IF(J167="",TODAY()-C167,TODAY()-J167))</f>
        <v/>
      </c>
      <c r="L167" s="11">
        <f>IF(B167="","",IF(F167="Diario",1,IF(F167="Semanal",7,IF(F167="Quincenal",15,IF(F167="Mensual",30,30))))+Resumen!$B$2)</f>
        <v/>
      </c>
      <c r="M167" s="11">
        <f>IF(B167="","",IF(G167&lt;=0,"Pagado",IF(K167&gt;L167,"Atrasado","Al dia")))</f>
        <v/>
      </c>
    </row>
    <row r="168">
      <c r="A168" s="11">
        <f>IF(B168="","","P"&amp;TEXT(ROW()-1,"000"))</f>
        <v/>
      </c>
      <c r="B168" s="12" t="n"/>
      <c r="C168" s="13" t="n"/>
      <c r="D168" s="14" t="n"/>
      <c r="E168" s="15" t="n"/>
      <c r="F168" s="12" t="n"/>
      <c r="G168" s="16">
        <f>IF(B168="","",D168-SUMIFS(Pagos!$H:$H,Pagos!$B:$B,A168))</f>
        <v/>
      </c>
      <c r="H168" s="16">
        <f>IF(B168="","",SUMIFS(Pagos!$E:$E,Pagos!$B:$B,A168))</f>
        <v/>
      </c>
      <c r="I168" s="16">
        <f>IF(B168="","",SUMIFS(Pagos!$G:$G,Pagos!$B:$B,A168))</f>
        <v/>
      </c>
      <c r="J168" s="17">
        <f>IF(B168="","",IF(COUNTIF(Pagos!$B:$B,A168)=0,"",_xlfn.MAXIFS(Pagos!$D:$D,Pagos!$B:$B,A168)))</f>
        <v/>
      </c>
      <c r="K168" s="11">
        <f>IF(B168="","",IF(J168="",TODAY()-C168,TODAY()-J168))</f>
        <v/>
      </c>
      <c r="L168" s="11">
        <f>IF(B168="","",IF(F168="Diario",1,IF(F168="Semanal",7,IF(F168="Quincenal",15,IF(F168="Mensual",30,30))))+Resumen!$B$2)</f>
        <v/>
      </c>
      <c r="M168" s="11">
        <f>IF(B168="","",IF(G168&lt;=0,"Pagado",IF(K168&gt;L168,"Atrasado","Al dia")))</f>
        <v/>
      </c>
    </row>
    <row r="169">
      <c r="A169" s="11">
        <f>IF(B169="","","P"&amp;TEXT(ROW()-1,"000"))</f>
        <v/>
      </c>
      <c r="B169" s="12" t="n"/>
      <c r="C169" s="13" t="n"/>
      <c r="D169" s="14" t="n"/>
      <c r="E169" s="15" t="n"/>
      <c r="F169" s="12" t="n"/>
      <c r="G169" s="16">
        <f>IF(B169="","",D169-SUMIFS(Pagos!$H:$H,Pagos!$B:$B,A169))</f>
        <v/>
      </c>
      <c r="H169" s="16">
        <f>IF(B169="","",SUMIFS(Pagos!$E:$E,Pagos!$B:$B,A169))</f>
        <v/>
      </c>
      <c r="I169" s="16">
        <f>IF(B169="","",SUMIFS(Pagos!$G:$G,Pagos!$B:$B,A169))</f>
        <v/>
      </c>
      <c r="J169" s="17">
        <f>IF(B169="","",IF(COUNTIF(Pagos!$B:$B,A169)=0,"",_xlfn.MAXIFS(Pagos!$D:$D,Pagos!$B:$B,A169)))</f>
        <v/>
      </c>
      <c r="K169" s="11">
        <f>IF(B169="","",IF(J169="",TODAY()-C169,TODAY()-J169))</f>
        <v/>
      </c>
      <c r="L169" s="11">
        <f>IF(B169="","",IF(F169="Diario",1,IF(F169="Semanal",7,IF(F169="Quincenal",15,IF(F169="Mensual",30,30))))+Resumen!$B$2)</f>
        <v/>
      </c>
      <c r="M169" s="11">
        <f>IF(B169="","",IF(G169&lt;=0,"Pagado",IF(K169&gt;L169,"Atrasado","Al dia")))</f>
        <v/>
      </c>
    </row>
    <row r="170">
      <c r="A170" s="11">
        <f>IF(B170="","","P"&amp;TEXT(ROW()-1,"000"))</f>
        <v/>
      </c>
      <c r="B170" s="12" t="n"/>
      <c r="C170" s="13" t="n"/>
      <c r="D170" s="14" t="n"/>
      <c r="E170" s="15" t="n"/>
      <c r="F170" s="12" t="n"/>
      <c r="G170" s="16">
        <f>IF(B170="","",D170-SUMIFS(Pagos!$H:$H,Pagos!$B:$B,A170))</f>
        <v/>
      </c>
      <c r="H170" s="16">
        <f>IF(B170="","",SUMIFS(Pagos!$E:$E,Pagos!$B:$B,A170))</f>
        <v/>
      </c>
      <c r="I170" s="16">
        <f>IF(B170="","",SUMIFS(Pagos!$G:$G,Pagos!$B:$B,A170))</f>
        <v/>
      </c>
      <c r="J170" s="17">
        <f>IF(B170="","",IF(COUNTIF(Pagos!$B:$B,A170)=0,"",_xlfn.MAXIFS(Pagos!$D:$D,Pagos!$B:$B,A170)))</f>
        <v/>
      </c>
      <c r="K170" s="11">
        <f>IF(B170="","",IF(J170="",TODAY()-C170,TODAY()-J170))</f>
        <v/>
      </c>
      <c r="L170" s="11">
        <f>IF(B170="","",IF(F170="Diario",1,IF(F170="Semanal",7,IF(F170="Quincenal",15,IF(F170="Mensual",30,30))))+Resumen!$B$2)</f>
        <v/>
      </c>
      <c r="M170" s="11">
        <f>IF(B170="","",IF(G170&lt;=0,"Pagado",IF(K170&gt;L170,"Atrasado","Al dia")))</f>
        <v/>
      </c>
    </row>
    <row r="171">
      <c r="A171" s="11">
        <f>IF(B171="","","P"&amp;TEXT(ROW()-1,"000"))</f>
        <v/>
      </c>
      <c r="B171" s="12" t="n"/>
      <c r="C171" s="13" t="n"/>
      <c r="D171" s="14" t="n"/>
      <c r="E171" s="15" t="n"/>
      <c r="F171" s="12" t="n"/>
      <c r="G171" s="16">
        <f>IF(B171="","",D171-SUMIFS(Pagos!$H:$H,Pagos!$B:$B,A171))</f>
        <v/>
      </c>
      <c r="H171" s="16">
        <f>IF(B171="","",SUMIFS(Pagos!$E:$E,Pagos!$B:$B,A171))</f>
        <v/>
      </c>
      <c r="I171" s="16">
        <f>IF(B171="","",SUMIFS(Pagos!$G:$G,Pagos!$B:$B,A171))</f>
        <v/>
      </c>
      <c r="J171" s="17">
        <f>IF(B171="","",IF(COUNTIF(Pagos!$B:$B,A171)=0,"",_xlfn.MAXIFS(Pagos!$D:$D,Pagos!$B:$B,A171)))</f>
        <v/>
      </c>
      <c r="K171" s="11">
        <f>IF(B171="","",IF(J171="",TODAY()-C171,TODAY()-J171))</f>
        <v/>
      </c>
      <c r="L171" s="11">
        <f>IF(B171="","",IF(F171="Diario",1,IF(F171="Semanal",7,IF(F171="Quincenal",15,IF(F171="Mensual",30,30))))+Resumen!$B$2)</f>
        <v/>
      </c>
      <c r="M171" s="11">
        <f>IF(B171="","",IF(G171&lt;=0,"Pagado",IF(K171&gt;L171,"Atrasado","Al dia")))</f>
        <v/>
      </c>
    </row>
    <row r="172">
      <c r="A172" s="11">
        <f>IF(B172="","","P"&amp;TEXT(ROW()-1,"000"))</f>
        <v/>
      </c>
      <c r="B172" s="12" t="n"/>
      <c r="C172" s="13" t="n"/>
      <c r="D172" s="14" t="n"/>
      <c r="E172" s="15" t="n"/>
      <c r="F172" s="12" t="n"/>
      <c r="G172" s="16">
        <f>IF(B172="","",D172-SUMIFS(Pagos!$H:$H,Pagos!$B:$B,A172))</f>
        <v/>
      </c>
      <c r="H172" s="16">
        <f>IF(B172="","",SUMIFS(Pagos!$E:$E,Pagos!$B:$B,A172))</f>
        <v/>
      </c>
      <c r="I172" s="16">
        <f>IF(B172="","",SUMIFS(Pagos!$G:$G,Pagos!$B:$B,A172))</f>
        <v/>
      </c>
      <c r="J172" s="17">
        <f>IF(B172="","",IF(COUNTIF(Pagos!$B:$B,A172)=0,"",_xlfn.MAXIFS(Pagos!$D:$D,Pagos!$B:$B,A172)))</f>
        <v/>
      </c>
      <c r="K172" s="11">
        <f>IF(B172="","",IF(J172="",TODAY()-C172,TODAY()-J172))</f>
        <v/>
      </c>
      <c r="L172" s="11">
        <f>IF(B172="","",IF(F172="Diario",1,IF(F172="Semanal",7,IF(F172="Quincenal",15,IF(F172="Mensual",30,30))))+Resumen!$B$2)</f>
        <v/>
      </c>
      <c r="M172" s="11">
        <f>IF(B172="","",IF(G172&lt;=0,"Pagado",IF(K172&gt;L172,"Atrasado","Al dia")))</f>
        <v/>
      </c>
    </row>
    <row r="173">
      <c r="A173" s="11">
        <f>IF(B173="","","P"&amp;TEXT(ROW()-1,"000"))</f>
        <v/>
      </c>
      <c r="B173" s="12" t="n"/>
      <c r="C173" s="13" t="n"/>
      <c r="D173" s="14" t="n"/>
      <c r="E173" s="15" t="n"/>
      <c r="F173" s="12" t="n"/>
      <c r="G173" s="16">
        <f>IF(B173="","",D173-SUMIFS(Pagos!$H:$H,Pagos!$B:$B,A173))</f>
        <v/>
      </c>
      <c r="H173" s="16">
        <f>IF(B173="","",SUMIFS(Pagos!$E:$E,Pagos!$B:$B,A173))</f>
        <v/>
      </c>
      <c r="I173" s="16">
        <f>IF(B173="","",SUMIFS(Pagos!$G:$G,Pagos!$B:$B,A173))</f>
        <v/>
      </c>
      <c r="J173" s="17">
        <f>IF(B173="","",IF(COUNTIF(Pagos!$B:$B,A173)=0,"",_xlfn.MAXIFS(Pagos!$D:$D,Pagos!$B:$B,A173)))</f>
        <v/>
      </c>
      <c r="K173" s="11">
        <f>IF(B173="","",IF(J173="",TODAY()-C173,TODAY()-J173))</f>
        <v/>
      </c>
      <c r="L173" s="11">
        <f>IF(B173="","",IF(F173="Diario",1,IF(F173="Semanal",7,IF(F173="Quincenal",15,IF(F173="Mensual",30,30))))+Resumen!$B$2)</f>
        <v/>
      </c>
      <c r="M173" s="11">
        <f>IF(B173="","",IF(G173&lt;=0,"Pagado",IF(K173&gt;L173,"Atrasado","Al dia")))</f>
        <v/>
      </c>
    </row>
    <row r="174">
      <c r="A174" s="11">
        <f>IF(B174="","","P"&amp;TEXT(ROW()-1,"000"))</f>
        <v/>
      </c>
      <c r="B174" s="12" t="n"/>
      <c r="C174" s="13" t="n"/>
      <c r="D174" s="14" t="n"/>
      <c r="E174" s="15" t="n"/>
      <c r="F174" s="12" t="n"/>
      <c r="G174" s="16">
        <f>IF(B174="","",D174-SUMIFS(Pagos!$H:$H,Pagos!$B:$B,A174))</f>
        <v/>
      </c>
      <c r="H174" s="16">
        <f>IF(B174="","",SUMIFS(Pagos!$E:$E,Pagos!$B:$B,A174))</f>
        <v/>
      </c>
      <c r="I174" s="16">
        <f>IF(B174="","",SUMIFS(Pagos!$G:$G,Pagos!$B:$B,A174))</f>
        <v/>
      </c>
      <c r="J174" s="17">
        <f>IF(B174="","",IF(COUNTIF(Pagos!$B:$B,A174)=0,"",_xlfn.MAXIFS(Pagos!$D:$D,Pagos!$B:$B,A174)))</f>
        <v/>
      </c>
      <c r="K174" s="11">
        <f>IF(B174="","",IF(J174="",TODAY()-C174,TODAY()-J174))</f>
        <v/>
      </c>
      <c r="L174" s="11">
        <f>IF(B174="","",IF(F174="Diario",1,IF(F174="Semanal",7,IF(F174="Quincenal",15,IF(F174="Mensual",30,30))))+Resumen!$B$2)</f>
        <v/>
      </c>
      <c r="M174" s="11">
        <f>IF(B174="","",IF(G174&lt;=0,"Pagado",IF(K174&gt;L174,"Atrasado","Al dia")))</f>
        <v/>
      </c>
    </row>
    <row r="175">
      <c r="A175" s="11">
        <f>IF(B175="","","P"&amp;TEXT(ROW()-1,"000"))</f>
        <v/>
      </c>
      <c r="B175" s="12" t="n"/>
      <c r="C175" s="13" t="n"/>
      <c r="D175" s="14" t="n"/>
      <c r="E175" s="15" t="n"/>
      <c r="F175" s="12" t="n"/>
      <c r="G175" s="16">
        <f>IF(B175="","",D175-SUMIFS(Pagos!$H:$H,Pagos!$B:$B,A175))</f>
        <v/>
      </c>
      <c r="H175" s="16">
        <f>IF(B175="","",SUMIFS(Pagos!$E:$E,Pagos!$B:$B,A175))</f>
        <v/>
      </c>
      <c r="I175" s="16">
        <f>IF(B175="","",SUMIFS(Pagos!$G:$G,Pagos!$B:$B,A175))</f>
        <v/>
      </c>
      <c r="J175" s="17">
        <f>IF(B175="","",IF(COUNTIF(Pagos!$B:$B,A175)=0,"",_xlfn.MAXIFS(Pagos!$D:$D,Pagos!$B:$B,A175)))</f>
        <v/>
      </c>
      <c r="K175" s="11">
        <f>IF(B175="","",IF(J175="",TODAY()-C175,TODAY()-J175))</f>
        <v/>
      </c>
      <c r="L175" s="11">
        <f>IF(B175="","",IF(F175="Diario",1,IF(F175="Semanal",7,IF(F175="Quincenal",15,IF(F175="Mensual",30,30))))+Resumen!$B$2)</f>
        <v/>
      </c>
      <c r="M175" s="11">
        <f>IF(B175="","",IF(G175&lt;=0,"Pagado",IF(K175&gt;L175,"Atrasado","Al dia")))</f>
        <v/>
      </c>
    </row>
    <row r="176">
      <c r="A176" s="11">
        <f>IF(B176="","","P"&amp;TEXT(ROW()-1,"000"))</f>
        <v/>
      </c>
      <c r="B176" s="12" t="n"/>
      <c r="C176" s="13" t="n"/>
      <c r="D176" s="14" t="n"/>
      <c r="E176" s="15" t="n"/>
      <c r="F176" s="12" t="n"/>
      <c r="G176" s="16">
        <f>IF(B176="","",D176-SUMIFS(Pagos!$H:$H,Pagos!$B:$B,A176))</f>
        <v/>
      </c>
      <c r="H176" s="16">
        <f>IF(B176="","",SUMIFS(Pagos!$E:$E,Pagos!$B:$B,A176))</f>
        <v/>
      </c>
      <c r="I176" s="16">
        <f>IF(B176="","",SUMIFS(Pagos!$G:$G,Pagos!$B:$B,A176))</f>
        <v/>
      </c>
      <c r="J176" s="17">
        <f>IF(B176="","",IF(COUNTIF(Pagos!$B:$B,A176)=0,"",_xlfn.MAXIFS(Pagos!$D:$D,Pagos!$B:$B,A176)))</f>
        <v/>
      </c>
      <c r="K176" s="11">
        <f>IF(B176="","",IF(J176="",TODAY()-C176,TODAY()-J176))</f>
        <v/>
      </c>
      <c r="L176" s="11">
        <f>IF(B176="","",IF(F176="Diario",1,IF(F176="Semanal",7,IF(F176="Quincenal",15,IF(F176="Mensual",30,30))))+Resumen!$B$2)</f>
        <v/>
      </c>
      <c r="M176" s="11">
        <f>IF(B176="","",IF(G176&lt;=0,"Pagado",IF(K176&gt;L176,"Atrasado","Al dia")))</f>
        <v/>
      </c>
    </row>
    <row r="177">
      <c r="A177" s="11">
        <f>IF(B177="","","P"&amp;TEXT(ROW()-1,"000"))</f>
        <v/>
      </c>
      <c r="B177" s="12" t="n"/>
      <c r="C177" s="13" t="n"/>
      <c r="D177" s="14" t="n"/>
      <c r="E177" s="15" t="n"/>
      <c r="F177" s="12" t="n"/>
      <c r="G177" s="16">
        <f>IF(B177="","",D177-SUMIFS(Pagos!$H:$H,Pagos!$B:$B,A177))</f>
        <v/>
      </c>
      <c r="H177" s="16">
        <f>IF(B177="","",SUMIFS(Pagos!$E:$E,Pagos!$B:$B,A177))</f>
        <v/>
      </c>
      <c r="I177" s="16">
        <f>IF(B177="","",SUMIFS(Pagos!$G:$G,Pagos!$B:$B,A177))</f>
        <v/>
      </c>
      <c r="J177" s="17">
        <f>IF(B177="","",IF(COUNTIF(Pagos!$B:$B,A177)=0,"",_xlfn.MAXIFS(Pagos!$D:$D,Pagos!$B:$B,A177)))</f>
        <v/>
      </c>
      <c r="K177" s="11">
        <f>IF(B177="","",IF(J177="",TODAY()-C177,TODAY()-J177))</f>
        <v/>
      </c>
      <c r="L177" s="11">
        <f>IF(B177="","",IF(F177="Diario",1,IF(F177="Semanal",7,IF(F177="Quincenal",15,IF(F177="Mensual",30,30))))+Resumen!$B$2)</f>
        <v/>
      </c>
      <c r="M177" s="11">
        <f>IF(B177="","",IF(G177&lt;=0,"Pagado",IF(K177&gt;L177,"Atrasado","Al dia")))</f>
        <v/>
      </c>
    </row>
    <row r="178">
      <c r="A178" s="11">
        <f>IF(B178="","","P"&amp;TEXT(ROW()-1,"000"))</f>
        <v/>
      </c>
      <c r="B178" s="12" t="n"/>
      <c r="C178" s="13" t="n"/>
      <c r="D178" s="14" t="n"/>
      <c r="E178" s="15" t="n"/>
      <c r="F178" s="12" t="n"/>
      <c r="G178" s="16">
        <f>IF(B178="","",D178-SUMIFS(Pagos!$H:$H,Pagos!$B:$B,A178))</f>
        <v/>
      </c>
      <c r="H178" s="16">
        <f>IF(B178="","",SUMIFS(Pagos!$E:$E,Pagos!$B:$B,A178))</f>
        <v/>
      </c>
      <c r="I178" s="16">
        <f>IF(B178="","",SUMIFS(Pagos!$G:$G,Pagos!$B:$B,A178))</f>
        <v/>
      </c>
      <c r="J178" s="17">
        <f>IF(B178="","",IF(COUNTIF(Pagos!$B:$B,A178)=0,"",_xlfn.MAXIFS(Pagos!$D:$D,Pagos!$B:$B,A178)))</f>
        <v/>
      </c>
      <c r="K178" s="11">
        <f>IF(B178="","",IF(J178="",TODAY()-C178,TODAY()-J178))</f>
        <v/>
      </c>
      <c r="L178" s="11">
        <f>IF(B178="","",IF(F178="Diario",1,IF(F178="Semanal",7,IF(F178="Quincenal",15,IF(F178="Mensual",30,30))))+Resumen!$B$2)</f>
        <v/>
      </c>
      <c r="M178" s="11">
        <f>IF(B178="","",IF(G178&lt;=0,"Pagado",IF(K178&gt;L178,"Atrasado","Al dia")))</f>
        <v/>
      </c>
    </row>
    <row r="179">
      <c r="A179" s="11">
        <f>IF(B179="","","P"&amp;TEXT(ROW()-1,"000"))</f>
        <v/>
      </c>
      <c r="B179" s="12" t="n"/>
      <c r="C179" s="13" t="n"/>
      <c r="D179" s="14" t="n"/>
      <c r="E179" s="15" t="n"/>
      <c r="F179" s="12" t="n"/>
      <c r="G179" s="16">
        <f>IF(B179="","",D179-SUMIFS(Pagos!$H:$H,Pagos!$B:$B,A179))</f>
        <v/>
      </c>
      <c r="H179" s="16">
        <f>IF(B179="","",SUMIFS(Pagos!$E:$E,Pagos!$B:$B,A179))</f>
        <v/>
      </c>
      <c r="I179" s="16">
        <f>IF(B179="","",SUMIFS(Pagos!$G:$G,Pagos!$B:$B,A179))</f>
        <v/>
      </c>
      <c r="J179" s="17">
        <f>IF(B179="","",IF(COUNTIF(Pagos!$B:$B,A179)=0,"",_xlfn.MAXIFS(Pagos!$D:$D,Pagos!$B:$B,A179)))</f>
        <v/>
      </c>
      <c r="K179" s="11">
        <f>IF(B179="","",IF(J179="",TODAY()-C179,TODAY()-J179))</f>
        <v/>
      </c>
      <c r="L179" s="11">
        <f>IF(B179="","",IF(F179="Diario",1,IF(F179="Semanal",7,IF(F179="Quincenal",15,IF(F179="Mensual",30,30))))+Resumen!$B$2)</f>
        <v/>
      </c>
      <c r="M179" s="11">
        <f>IF(B179="","",IF(G179&lt;=0,"Pagado",IF(K179&gt;L179,"Atrasado","Al dia")))</f>
        <v/>
      </c>
    </row>
    <row r="180">
      <c r="A180" s="11">
        <f>IF(B180="","","P"&amp;TEXT(ROW()-1,"000"))</f>
        <v/>
      </c>
      <c r="B180" s="12" t="n"/>
      <c r="C180" s="13" t="n"/>
      <c r="D180" s="14" t="n"/>
      <c r="E180" s="15" t="n"/>
      <c r="F180" s="12" t="n"/>
      <c r="G180" s="16">
        <f>IF(B180="","",D180-SUMIFS(Pagos!$H:$H,Pagos!$B:$B,A180))</f>
        <v/>
      </c>
      <c r="H180" s="16">
        <f>IF(B180="","",SUMIFS(Pagos!$E:$E,Pagos!$B:$B,A180))</f>
        <v/>
      </c>
      <c r="I180" s="16">
        <f>IF(B180="","",SUMIFS(Pagos!$G:$G,Pagos!$B:$B,A180))</f>
        <v/>
      </c>
      <c r="J180" s="17">
        <f>IF(B180="","",IF(COUNTIF(Pagos!$B:$B,A180)=0,"",_xlfn.MAXIFS(Pagos!$D:$D,Pagos!$B:$B,A180)))</f>
        <v/>
      </c>
      <c r="K180" s="11">
        <f>IF(B180="","",IF(J180="",TODAY()-C180,TODAY()-J180))</f>
        <v/>
      </c>
      <c r="L180" s="11">
        <f>IF(B180="","",IF(F180="Diario",1,IF(F180="Semanal",7,IF(F180="Quincenal",15,IF(F180="Mensual",30,30))))+Resumen!$B$2)</f>
        <v/>
      </c>
      <c r="M180" s="11">
        <f>IF(B180="","",IF(G180&lt;=0,"Pagado",IF(K180&gt;L180,"Atrasado","Al dia")))</f>
        <v/>
      </c>
    </row>
    <row r="181">
      <c r="A181" s="11">
        <f>IF(B181="","","P"&amp;TEXT(ROW()-1,"000"))</f>
        <v/>
      </c>
      <c r="B181" s="12" t="n"/>
      <c r="C181" s="13" t="n"/>
      <c r="D181" s="14" t="n"/>
      <c r="E181" s="15" t="n"/>
      <c r="F181" s="12" t="n"/>
      <c r="G181" s="16">
        <f>IF(B181="","",D181-SUMIFS(Pagos!$H:$H,Pagos!$B:$B,A181))</f>
        <v/>
      </c>
      <c r="H181" s="16">
        <f>IF(B181="","",SUMIFS(Pagos!$E:$E,Pagos!$B:$B,A181))</f>
        <v/>
      </c>
      <c r="I181" s="16">
        <f>IF(B181="","",SUMIFS(Pagos!$G:$G,Pagos!$B:$B,A181))</f>
        <v/>
      </c>
      <c r="J181" s="17">
        <f>IF(B181="","",IF(COUNTIF(Pagos!$B:$B,A181)=0,"",_xlfn.MAXIFS(Pagos!$D:$D,Pagos!$B:$B,A181)))</f>
        <v/>
      </c>
      <c r="K181" s="11">
        <f>IF(B181="","",IF(J181="",TODAY()-C181,TODAY()-J181))</f>
        <v/>
      </c>
      <c r="L181" s="11">
        <f>IF(B181="","",IF(F181="Diario",1,IF(F181="Semanal",7,IF(F181="Quincenal",15,IF(F181="Mensual",30,30))))+Resumen!$B$2)</f>
        <v/>
      </c>
      <c r="M181" s="11">
        <f>IF(B181="","",IF(G181&lt;=0,"Pagado",IF(K181&gt;L181,"Atrasado","Al dia")))</f>
        <v/>
      </c>
    </row>
    <row r="182">
      <c r="A182" s="11">
        <f>IF(B182="","","P"&amp;TEXT(ROW()-1,"000"))</f>
        <v/>
      </c>
      <c r="B182" s="12" t="n"/>
      <c r="C182" s="13" t="n"/>
      <c r="D182" s="14" t="n"/>
      <c r="E182" s="15" t="n"/>
      <c r="F182" s="12" t="n"/>
      <c r="G182" s="16">
        <f>IF(B182="","",D182-SUMIFS(Pagos!$H:$H,Pagos!$B:$B,A182))</f>
        <v/>
      </c>
      <c r="H182" s="16">
        <f>IF(B182="","",SUMIFS(Pagos!$E:$E,Pagos!$B:$B,A182))</f>
        <v/>
      </c>
      <c r="I182" s="16">
        <f>IF(B182="","",SUMIFS(Pagos!$G:$G,Pagos!$B:$B,A182))</f>
        <v/>
      </c>
      <c r="J182" s="17">
        <f>IF(B182="","",IF(COUNTIF(Pagos!$B:$B,A182)=0,"",_xlfn.MAXIFS(Pagos!$D:$D,Pagos!$B:$B,A182)))</f>
        <v/>
      </c>
      <c r="K182" s="11">
        <f>IF(B182="","",IF(J182="",TODAY()-C182,TODAY()-J182))</f>
        <v/>
      </c>
      <c r="L182" s="11">
        <f>IF(B182="","",IF(F182="Diario",1,IF(F182="Semanal",7,IF(F182="Quincenal",15,IF(F182="Mensual",30,30))))+Resumen!$B$2)</f>
        <v/>
      </c>
      <c r="M182" s="11">
        <f>IF(B182="","",IF(G182&lt;=0,"Pagado",IF(K182&gt;L182,"Atrasado","Al dia")))</f>
        <v/>
      </c>
    </row>
    <row r="183">
      <c r="A183" s="11">
        <f>IF(B183="","","P"&amp;TEXT(ROW()-1,"000"))</f>
        <v/>
      </c>
      <c r="B183" s="12" t="n"/>
      <c r="C183" s="13" t="n"/>
      <c r="D183" s="14" t="n"/>
      <c r="E183" s="15" t="n"/>
      <c r="F183" s="12" t="n"/>
      <c r="G183" s="16">
        <f>IF(B183="","",D183-SUMIFS(Pagos!$H:$H,Pagos!$B:$B,A183))</f>
        <v/>
      </c>
      <c r="H183" s="16">
        <f>IF(B183="","",SUMIFS(Pagos!$E:$E,Pagos!$B:$B,A183))</f>
        <v/>
      </c>
      <c r="I183" s="16">
        <f>IF(B183="","",SUMIFS(Pagos!$G:$G,Pagos!$B:$B,A183))</f>
        <v/>
      </c>
      <c r="J183" s="17">
        <f>IF(B183="","",IF(COUNTIF(Pagos!$B:$B,A183)=0,"",_xlfn.MAXIFS(Pagos!$D:$D,Pagos!$B:$B,A183)))</f>
        <v/>
      </c>
      <c r="K183" s="11">
        <f>IF(B183="","",IF(J183="",TODAY()-C183,TODAY()-J183))</f>
        <v/>
      </c>
      <c r="L183" s="11">
        <f>IF(B183="","",IF(F183="Diario",1,IF(F183="Semanal",7,IF(F183="Quincenal",15,IF(F183="Mensual",30,30))))+Resumen!$B$2)</f>
        <v/>
      </c>
      <c r="M183" s="11">
        <f>IF(B183="","",IF(G183&lt;=0,"Pagado",IF(K183&gt;L183,"Atrasado","Al dia")))</f>
        <v/>
      </c>
    </row>
    <row r="184">
      <c r="A184" s="11">
        <f>IF(B184="","","P"&amp;TEXT(ROW()-1,"000"))</f>
        <v/>
      </c>
      <c r="B184" s="12" t="n"/>
      <c r="C184" s="13" t="n"/>
      <c r="D184" s="14" t="n"/>
      <c r="E184" s="15" t="n"/>
      <c r="F184" s="12" t="n"/>
      <c r="G184" s="16">
        <f>IF(B184="","",D184-SUMIFS(Pagos!$H:$H,Pagos!$B:$B,A184))</f>
        <v/>
      </c>
      <c r="H184" s="16">
        <f>IF(B184="","",SUMIFS(Pagos!$E:$E,Pagos!$B:$B,A184))</f>
        <v/>
      </c>
      <c r="I184" s="16">
        <f>IF(B184="","",SUMIFS(Pagos!$G:$G,Pagos!$B:$B,A184))</f>
        <v/>
      </c>
      <c r="J184" s="17">
        <f>IF(B184="","",IF(COUNTIF(Pagos!$B:$B,A184)=0,"",_xlfn.MAXIFS(Pagos!$D:$D,Pagos!$B:$B,A184)))</f>
        <v/>
      </c>
      <c r="K184" s="11">
        <f>IF(B184="","",IF(J184="",TODAY()-C184,TODAY()-J184))</f>
        <v/>
      </c>
      <c r="L184" s="11">
        <f>IF(B184="","",IF(F184="Diario",1,IF(F184="Semanal",7,IF(F184="Quincenal",15,IF(F184="Mensual",30,30))))+Resumen!$B$2)</f>
        <v/>
      </c>
      <c r="M184" s="11">
        <f>IF(B184="","",IF(G184&lt;=0,"Pagado",IF(K184&gt;L184,"Atrasado","Al dia")))</f>
        <v/>
      </c>
    </row>
    <row r="185">
      <c r="A185" s="11">
        <f>IF(B185="","","P"&amp;TEXT(ROW()-1,"000"))</f>
        <v/>
      </c>
      <c r="B185" s="12" t="n"/>
      <c r="C185" s="13" t="n"/>
      <c r="D185" s="14" t="n"/>
      <c r="E185" s="15" t="n"/>
      <c r="F185" s="12" t="n"/>
      <c r="G185" s="16">
        <f>IF(B185="","",D185-SUMIFS(Pagos!$H:$H,Pagos!$B:$B,A185))</f>
        <v/>
      </c>
      <c r="H185" s="16">
        <f>IF(B185="","",SUMIFS(Pagos!$E:$E,Pagos!$B:$B,A185))</f>
        <v/>
      </c>
      <c r="I185" s="16">
        <f>IF(B185="","",SUMIFS(Pagos!$G:$G,Pagos!$B:$B,A185))</f>
        <v/>
      </c>
      <c r="J185" s="17">
        <f>IF(B185="","",IF(COUNTIF(Pagos!$B:$B,A185)=0,"",_xlfn.MAXIFS(Pagos!$D:$D,Pagos!$B:$B,A185)))</f>
        <v/>
      </c>
      <c r="K185" s="11">
        <f>IF(B185="","",IF(J185="",TODAY()-C185,TODAY()-J185))</f>
        <v/>
      </c>
      <c r="L185" s="11">
        <f>IF(B185="","",IF(F185="Diario",1,IF(F185="Semanal",7,IF(F185="Quincenal",15,IF(F185="Mensual",30,30))))+Resumen!$B$2)</f>
        <v/>
      </c>
      <c r="M185" s="11">
        <f>IF(B185="","",IF(G185&lt;=0,"Pagado",IF(K185&gt;L185,"Atrasado","Al dia")))</f>
        <v/>
      </c>
    </row>
    <row r="186">
      <c r="A186" s="11">
        <f>IF(B186="","","P"&amp;TEXT(ROW()-1,"000"))</f>
        <v/>
      </c>
      <c r="B186" s="12" t="n"/>
      <c r="C186" s="13" t="n"/>
      <c r="D186" s="14" t="n"/>
      <c r="E186" s="15" t="n"/>
      <c r="F186" s="12" t="n"/>
      <c r="G186" s="16">
        <f>IF(B186="","",D186-SUMIFS(Pagos!$H:$H,Pagos!$B:$B,A186))</f>
        <v/>
      </c>
      <c r="H186" s="16">
        <f>IF(B186="","",SUMIFS(Pagos!$E:$E,Pagos!$B:$B,A186))</f>
        <v/>
      </c>
      <c r="I186" s="16">
        <f>IF(B186="","",SUMIFS(Pagos!$G:$G,Pagos!$B:$B,A186))</f>
        <v/>
      </c>
      <c r="J186" s="17">
        <f>IF(B186="","",IF(COUNTIF(Pagos!$B:$B,A186)=0,"",_xlfn.MAXIFS(Pagos!$D:$D,Pagos!$B:$B,A186)))</f>
        <v/>
      </c>
      <c r="K186" s="11">
        <f>IF(B186="","",IF(J186="",TODAY()-C186,TODAY()-J186))</f>
        <v/>
      </c>
      <c r="L186" s="11">
        <f>IF(B186="","",IF(F186="Diario",1,IF(F186="Semanal",7,IF(F186="Quincenal",15,IF(F186="Mensual",30,30))))+Resumen!$B$2)</f>
        <v/>
      </c>
      <c r="M186" s="11">
        <f>IF(B186="","",IF(G186&lt;=0,"Pagado",IF(K186&gt;L186,"Atrasado","Al dia")))</f>
        <v/>
      </c>
    </row>
    <row r="187">
      <c r="A187" s="11">
        <f>IF(B187="","","P"&amp;TEXT(ROW()-1,"000"))</f>
        <v/>
      </c>
      <c r="B187" s="12" t="n"/>
      <c r="C187" s="13" t="n"/>
      <c r="D187" s="14" t="n"/>
      <c r="E187" s="15" t="n"/>
      <c r="F187" s="12" t="n"/>
      <c r="G187" s="16">
        <f>IF(B187="","",D187-SUMIFS(Pagos!$H:$H,Pagos!$B:$B,A187))</f>
        <v/>
      </c>
      <c r="H187" s="16">
        <f>IF(B187="","",SUMIFS(Pagos!$E:$E,Pagos!$B:$B,A187))</f>
        <v/>
      </c>
      <c r="I187" s="16">
        <f>IF(B187="","",SUMIFS(Pagos!$G:$G,Pagos!$B:$B,A187))</f>
        <v/>
      </c>
      <c r="J187" s="17">
        <f>IF(B187="","",IF(COUNTIF(Pagos!$B:$B,A187)=0,"",_xlfn.MAXIFS(Pagos!$D:$D,Pagos!$B:$B,A187)))</f>
        <v/>
      </c>
      <c r="K187" s="11">
        <f>IF(B187="","",IF(J187="",TODAY()-C187,TODAY()-J187))</f>
        <v/>
      </c>
      <c r="L187" s="11">
        <f>IF(B187="","",IF(F187="Diario",1,IF(F187="Semanal",7,IF(F187="Quincenal",15,IF(F187="Mensual",30,30))))+Resumen!$B$2)</f>
        <v/>
      </c>
      <c r="M187" s="11">
        <f>IF(B187="","",IF(G187&lt;=0,"Pagado",IF(K187&gt;L187,"Atrasado","Al dia")))</f>
        <v/>
      </c>
    </row>
    <row r="188">
      <c r="A188" s="11">
        <f>IF(B188="","","P"&amp;TEXT(ROW()-1,"000"))</f>
        <v/>
      </c>
      <c r="B188" s="12" t="n"/>
      <c r="C188" s="13" t="n"/>
      <c r="D188" s="14" t="n"/>
      <c r="E188" s="15" t="n"/>
      <c r="F188" s="12" t="n"/>
      <c r="G188" s="16">
        <f>IF(B188="","",D188-SUMIFS(Pagos!$H:$H,Pagos!$B:$B,A188))</f>
        <v/>
      </c>
      <c r="H188" s="16">
        <f>IF(B188="","",SUMIFS(Pagos!$E:$E,Pagos!$B:$B,A188))</f>
        <v/>
      </c>
      <c r="I188" s="16">
        <f>IF(B188="","",SUMIFS(Pagos!$G:$G,Pagos!$B:$B,A188))</f>
        <v/>
      </c>
      <c r="J188" s="17">
        <f>IF(B188="","",IF(COUNTIF(Pagos!$B:$B,A188)=0,"",_xlfn.MAXIFS(Pagos!$D:$D,Pagos!$B:$B,A188)))</f>
        <v/>
      </c>
      <c r="K188" s="11">
        <f>IF(B188="","",IF(J188="",TODAY()-C188,TODAY()-J188))</f>
        <v/>
      </c>
      <c r="L188" s="11">
        <f>IF(B188="","",IF(F188="Diario",1,IF(F188="Semanal",7,IF(F188="Quincenal",15,IF(F188="Mensual",30,30))))+Resumen!$B$2)</f>
        <v/>
      </c>
      <c r="M188" s="11">
        <f>IF(B188="","",IF(G188&lt;=0,"Pagado",IF(K188&gt;L188,"Atrasado","Al dia")))</f>
        <v/>
      </c>
    </row>
    <row r="189">
      <c r="A189" s="11">
        <f>IF(B189="","","P"&amp;TEXT(ROW()-1,"000"))</f>
        <v/>
      </c>
      <c r="B189" s="12" t="n"/>
      <c r="C189" s="13" t="n"/>
      <c r="D189" s="14" t="n"/>
      <c r="E189" s="15" t="n"/>
      <c r="F189" s="12" t="n"/>
      <c r="G189" s="16">
        <f>IF(B189="","",D189-SUMIFS(Pagos!$H:$H,Pagos!$B:$B,A189))</f>
        <v/>
      </c>
      <c r="H189" s="16">
        <f>IF(B189="","",SUMIFS(Pagos!$E:$E,Pagos!$B:$B,A189))</f>
        <v/>
      </c>
      <c r="I189" s="16">
        <f>IF(B189="","",SUMIFS(Pagos!$G:$G,Pagos!$B:$B,A189))</f>
        <v/>
      </c>
      <c r="J189" s="17">
        <f>IF(B189="","",IF(COUNTIF(Pagos!$B:$B,A189)=0,"",_xlfn.MAXIFS(Pagos!$D:$D,Pagos!$B:$B,A189)))</f>
        <v/>
      </c>
      <c r="K189" s="11">
        <f>IF(B189="","",IF(J189="",TODAY()-C189,TODAY()-J189))</f>
        <v/>
      </c>
      <c r="L189" s="11">
        <f>IF(B189="","",IF(F189="Diario",1,IF(F189="Semanal",7,IF(F189="Quincenal",15,IF(F189="Mensual",30,30))))+Resumen!$B$2)</f>
        <v/>
      </c>
      <c r="M189" s="11">
        <f>IF(B189="","",IF(G189&lt;=0,"Pagado",IF(K189&gt;L189,"Atrasado","Al dia")))</f>
        <v/>
      </c>
    </row>
    <row r="190">
      <c r="A190" s="11">
        <f>IF(B190="","","P"&amp;TEXT(ROW()-1,"000"))</f>
        <v/>
      </c>
      <c r="B190" s="12" t="n"/>
      <c r="C190" s="13" t="n"/>
      <c r="D190" s="14" t="n"/>
      <c r="E190" s="15" t="n"/>
      <c r="F190" s="12" t="n"/>
      <c r="G190" s="16">
        <f>IF(B190="","",D190-SUMIFS(Pagos!$H:$H,Pagos!$B:$B,A190))</f>
        <v/>
      </c>
      <c r="H190" s="16">
        <f>IF(B190="","",SUMIFS(Pagos!$E:$E,Pagos!$B:$B,A190))</f>
        <v/>
      </c>
      <c r="I190" s="16">
        <f>IF(B190="","",SUMIFS(Pagos!$G:$G,Pagos!$B:$B,A190))</f>
        <v/>
      </c>
      <c r="J190" s="17">
        <f>IF(B190="","",IF(COUNTIF(Pagos!$B:$B,A190)=0,"",_xlfn.MAXIFS(Pagos!$D:$D,Pagos!$B:$B,A190)))</f>
        <v/>
      </c>
      <c r="K190" s="11">
        <f>IF(B190="","",IF(J190="",TODAY()-C190,TODAY()-J190))</f>
        <v/>
      </c>
      <c r="L190" s="11">
        <f>IF(B190="","",IF(F190="Diario",1,IF(F190="Semanal",7,IF(F190="Quincenal",15,IF(F190="Mensual",30,30))))+Resumen!$B$2)</f>
        <v/>
      </c>
      <c r="M190" s="11">
        <f>IF(B190="","",IF(G190&lt;=0,"Pagado",IF(K190&gt;L190,"Atrasado","Al dia")))</f>
        <v/>
      </c>
    </row>
    <row r="191">
      <c r="A191" s="11">
        <f>IF(B191="","","P"&amp;TEXT(ROW()-1,"000"))</f>
        <v/>
      </c>
      <c r="B191" s="12" t="n"/>
      <c r="C191" s="13" t="n"/>
      <c r="D191" s="14" t="n"/>
      <c r="E191" s="15" t="n"/>
      <c r="F191" s="12" t="n"/>
      <c r="G191" s="16">
        <f>IF(B191="","",D191-SUMIFS(Pagos!$H:$H,Pagos!$B:$B,A191))</f>
        <v/>
      </c>
      <c r="H191" s="16">
        <f>IF(B191="","",SUMIFS(Pagos!$E:$E,Pagos!$B:$B,A191))</f>
        <v/>
      </c>
      <c r="I191" s="16">
        <f>IF(B191="","",SUMIFS(Pagos!$G:$G,Pagos!$B:$B,A191))</f>
        <v/>
      </c>
      <c r="J191" s="17">
        <f>IF(B191="","",IF(COUNTIF(Pagos!$B:$B,A191)=0,"",_xlfn.MAXIFS(Pagos!$D:$D,Pagos!$B:$B,A191)))</f>
        <v/>
      </c>
      <c r="K191" s="11">
        <f>IF(B191="","",IF(J191="",TODAY()-C191,TODAY()-J191))</f>
        <v/>
      </c>
      <c r="L191" s="11">
        <f>IF(B191="","",IF(F191="Diario",1,IF(F191="Semanal",7,IF(F191="Quincenal",15,IF(F191="Mensual",30,30))))+Resumen!$B$2)</f>
        <v/>
      </c>
      <c r="M191" s="11">
        <f>IF(B191="","",IF(G191&lt;=0,"Pagado",IF(K191&gt;L191,"Atrasado","Al dia")))</f>
        <v/>
      </c>
    </row>
    <row r="192">
      <c r="A192" s="11">
        <f>IF(B192="","","P"&amp;TEXT(ROW()-1,"000"))</f>
        <v/>
      </c>
      <c r="B192" s="12" t="n"/>
      <c r="C192" s="13" t="n"/>
      <c r="D192" s="14" t="n"/>
      <c r="E192" s="15" t="n"/>
      <c r="F192" s="12" t="n"/>
      <c r="G192" s="16">
        <f>IF(B192="","",D192-SUMIFS(Pagos!$H:$H,Pagos!$B:$B,A192))</f>
        <v/>
      </c>
      <c r="H192" s="16">
        <f>IF(B192="","",SUMIFS(Pagos!$E:$E,Pagos!$B:$B,A192))</f>
        <v/>
      </c>
      <c r="I192" s="16">
        <f>IF(B192="","",SUMIFS(Pagos!$G:$G,Pagos!$B:$B,A192))</f>
        <v/>
      </c>
      <c r="J192" s="17">
        <f>IF(B192="","",IF(COUNTIF(Pagos!$B:$B,A192)=0,"",_xlfn.MAXIFS(Pagos!$D:$D,Pagos!$B:$B,A192)))</f>
        <v/>
      </c>
      <c r="K192" s="11">
        <f>IF(B192="","",IF(J192="",TODAY()-C192,TODAY()-J192))</f>
        <v/>
      </c>
      <c r="L192" s="11">
        <f>IF(B192="","",IF(F192="Diario",1,IF(F192="Semanal",7,IF(F192="Quincenal",15,IF(F192="Mensual",30,30))))+Resumen!$B$2)</f>
        <v/>
      </c>
      <c r="M192" s="11">
        <f>IF(B192="","",IF(G192&lt;=0,"Pagado",IF(K192&gt;L192,"Atrasado","Al dia")))</f>
        <v/>
      </c>
    </row>
    <row r="193">
      <c r="A193" s="11">
        <f>IF(B193="","","P"&amp;TEXT(ROW()-1,"000"))</f>
        <v/>
      </c>
      <c r="B193" s="12" t="n"/>
      <c r="C193" s="13" t="n"/>
      <c r="D193" s="14" t="n"/>
      <c r="E193" s="15" t="n"/>
      <c r="F193" s="12" t="n"/>
      <c r="G193" s="16">
        <f>IF(B193="","",D193-SUMIFS(Pagos!$H:$H,Pagos!$B:$B,A193))</f>
        <v/>
      </c>
      <c r="H193" s="16">
        <f>IF(B193="","",SUMIFS(Pagos!$E:$E,Pagos!$B:$B,A193))</f>
        <v/>
      </c>
      <c r="I193" s="16">
        <f>IF(B193="","",SUMIFS(Pagos!$G:$G,Pagos!$B:$B,A193))</f>
        <v/>
      </c>
      <c r="J193" s="17">
        <f>IF(B193="","",IF(COUNTIF(Pagos!$B:$B,A193)=0,"",_xlfn.MAXIFS(Pagos!$D:$D,Pagos!$B:$B,A193)))</f>
        <v/>
      </c>
      <c r="K193" s="11">
        <f>IF(B193="","",IF(J193="",TODAY()-C193,TODAY()-J193))</f>
        <v/>
      </c>
      <c r="L193" s="11">
        <f>IF(B193="","",IF(F193="Diario",1,IF(F193="Semanal",7,IF(F193="Quincenal",15,IF(F193="Mensual",30,30))))+Resumen!$B$2)</f>
        <v/>
      </c>
      <c r="M193" s="11">
        <f>IF(B193="","",IF(G193&lt;=0,"Pagado",IF(K193&gt;L193,"Atrasado","Al dia")))</f>
        <v/>
      </c>
    </row>
    <row r="194">
      <c r="A194" s="11">
        <f>IF(B194="","","P"&amp;TEXT(ROW()-1,"000"))</f>
        <v/>
      </c>
      <c r="B194" s="12" t="n"/>
      <c r="C194" s="13" t="n"/>
      <c r="D194" s="14" t="n"/>
      <c r="E194" s="15" t="n"/>
      <c r="F194" s="12" t="n"/>
      <c r="G194" s="16">
        <f>IF(B194="","",D194-SUMIFS(Pagos!$H:$H,Pagos!$B:$B,A194))</f>
        <v/>
      </c>
      <c r="H194" s="16">
        <f>IF(B194="","",SUMIFS(Pagos!$E:$E,Pagos!$B:$B,A194))</f>
        <v/>
      </c>
      <c r="I194" s="16">
        <f>IF(B194="","",SUMIFS(Pagos!$G:$G,Pagos!$B:$B,A194))</f>
        <v/>
      </c>
      <c r="J194" s="17">
        <f>IF(B194="","",IF(COUNTIF(Pagos!$B:$B,A194)=0,"",_xlfn.MAXIFS(Pagos!$D:$D,Pagos!$B:$B,A194)))</f>
        <v/>
      </c>
      <c r="K194" s="11">
        <f>IF(B194="","",IF(J194="",TODAY()-C194,TODAY()-J194))</f>
        <v/>
      </c>
      <c r="L194" s="11">
        <f>IF(B194="","",IF(F194="Diario",1,IF(F194="Semanal",7,IF(F194="Quincenal",15,IF(F194="Mensual",30,30))))+Resumen!$B$2)</f>
        <v/>
      </c>
      <c r="M194" s="11">
        <f>IF(B194="","",IF(G194&lt;=0,"Pagado",IF(K194&gt;L194,"Atrasado","Al dia")))</f>
        <v/>
      </c>
    </row>
    <row r="195">
      <c r="A195" s="11">
        <f>IF(B195="","","P"&amp;TEXT(ROW()-1,"000"))</f>
        <v/>
      </c>
      <c r="B195" s="12" t="n"/>
      <c r="C195" s="13" t="n"/>
      <c r="D195" s="14" t="n"/>
      <c r="E195" s="15" t="n"/>
      <c r="F195" s="12" t="n"/>
      <c r="G195" s="16">
        <f>IF(B195="","",D195-SUMIFS(Pagos!$H:$H,Pagos!$B:$B,A195))</f>
        <v/>
      </c>
      <c r="H195" s="16">
        <f>IF(B195="","",SUMIFS(Pagos!$E:$E,Pagos!$B:$B,A195))</f>
        <v/>
      </c>
      <c r="I195" s="16">
        <f>IF(B195="","",SUMIFS(Pagos!$G:$G,Pagos!$B:$B,A195))</f>
        <v/>
      </c>
      <c r="J195" s="17">
        <f>IF(B195="","",IF(COUNTIF(Pagos!$B:$B,A195)=0,"",_xlfn.MAXIFS(Pagos!$D:$D,Pagos!$B:$B,A195)))</f>
        <v/>
      </c>
      <c r="K195" s="11">
        <f>IF(B195="","",IF(J195="",TODAY()-C195,TODAY()-J195))</f>
        <v/>
      </c>
      <c r="L195" s="11">
        <f>IF(B195="","",IF(F195="Diario",1,IF(F195="Semanal",7,IF(F195="Quincenal",15,IF(F195="Mensual",30,30))))+Resumen!$B$2)</f>
        <v/>
      </c>
      <c r="M195" s="11">
        <f>IF(B195="","",IF(G195&lt;=0,"Pagado",IF(K195&gt;L195,"Atrasado","Al dia")))</f>
        <v/>
      </c>
    </row>
    <row r="196">
      <c r="A196" s="11">
        <f>IF(B196="","","P"&amp;TEXT(ROW()-1,"000"))</f>
        <v/>
      </c>
      <c r="B196" s="12" t="n"/>
      <c r="C196" s="13" t="n"/>
      <c r="D196" s="14" t="n"/>
      <c r="E196" s="15" t="n"/>
      <c r="F196" s="12" t="n"/>
      <c r="G196" s="16">
        <f>IF(B196="","",D196-SUMIFS(Pagos!$H:$H,Pagos!$B:$B,A196))</f>
        <v/>
      </c>
      <c r="H196" s="16">
        <f>IF(B196="","",SUMIFS(Pagos!$E:$E,Pagos!$B:$B,A196))</f>
        <v/>
      </c>
      <c r="I196" s="16">
        <f>IF(B196="","",SUMIFS(Pagos!$G:$G,Pagos!$B:$B,A196))</f>
        <v/>
      </c>
      <c r="J196" s="17">
        <f>IF(B196="","",IF(COUNTIF(Pagos!$B:$B,A196)=0,"",_xlfn.MAXIFS(Pagos!$D:$D,Pagos!$B:$B,A196)))</f>
        <v/>
      </c>
      <c r="K196" s="11">
        <f>IF(B196="","",IF(J196="",TODAY()-C196,TODAY()-J196))</f>
        <v/>
      </c>
      <c r="L196" s="11">
        <f>IF(B196="","",IF(F196="Diario",1,IF(F196="Semanal",7,IF(F196="Quincenal",15,IF(F196="Mensual",30,30))))+Resumen!$B$2)</f>
        <v/>
      </c>
      <c r="M196" s="11">
        <f>IF(B196="","",IF(G196&lt;=0,"Pagado",IF(K196&gt;L196,"Atrasado","Al dia")))</f>
        <v/>
      </c>
    </row>
    <row r="197">
      <c r="A197" s="11">
        <f>IF(B197="","","P"&amp;TEXT(ROW()-1,"000"))</f>
        <v/>
      </c>
      <c r="B197" s="12" t="n"/>
      <c r="C197" s="13" t="n"/>
      <c r="D197" s="14" t="n"/>
      <c r="E197" s="15" t="n"/>
      <c r="F197" s="12" t="n"/>
      <c r="G197" s="16">
        <f>IF(B197="","",D197-SUMIFS(Pagos!$H:$H,Pagos!$B:$B,A197))</f>
        <v/>
      </c>
      <c r="H197" s="16">
        <f>IF(B197="","",SUMIFS(Pagos!$E:$E,Pagos!$B:$B,A197))</f>
        <v/>
      </c>
      <c r="I197" s="16">
        <f>IF(B197="","",SUMIFS(Pagos!$G:$G,Pagos!$B:$B,A197))</f>
        <v/>
      </c>
      <c r="J197" s="17">
        <f>IF(B197="","",IF(COUNTIF(Pagos!$B:$B,A197)=0,"",_xlfn.MAXIFS(Pagos!$D:$D,Pagos!$B:$B,A197)))</f>
        <v/>
      </c>
      <c r="K197" s="11">
        <f>IF(B197="","",IF(J197="",TODAY()-C197,TODAY()-J197))</f>
        <v/>
      </c>
      <c r="L197" s="11">
        <f>IF(B197="","",IF(F197="Diario",1,IF(F197="Semanal",7,IF(F197="Quincenal",15,IF(F197="Mensual",30,30))))+Resumen!$B$2)</f>
        <v/>
      </c>
      <c r="M197" s="11">
        <f>IF(B197="","",IF(G197&lt;=0,"Pagado",IF(K197&gt;L197,"Atrasado","Al dia")))</f>
        <v/>
      </c>
    </row>
    <row r="198">
      <c r="A198" s="11">
        <f>IF(B198="","","P"&amp;TEXT(ROW()-1,"000"))</f>
        <v/>
      </c>
      <c r="B198" s="12" t="n"/>
      <c r="C198" s="13" t="n"/>
      <c r="D198" s="14" t="n"/>
      <c r="E198" s="15" t="n"/>
      <c r="F198" s="12" t="n"/>
      <c r="G198" s="16">
        <f>IF(B198="","",D198-SUMIFS(Pagos!$H:$H,Pagos!$B:$B,A198))</f>
        <v/>
      </c>
      <c r="H198" s="16">
        <f>IF(B198="","",SUMIFS(Pagos!$E:$E,Pagos!$B:$B,A198))</f>
        <v/>
      </c>
      <c r="I198" s="16">
        <f>IF(B198="","",SUMIFS(Pagos!$G:$G,Pagos!$B:$B,A198))</f>
        <v/>
      </c>
      <c r="J198" s="17">
        <f>IF(B198="","",IF(COUNTIF(Pagos!$B:$B,A198)=0,"",_xlfn.MAXIFS(Pagos!$D:$D,Pagos!$B:$B,A198)))</f>
        <v/>
      </c>
      <c r="K198" s="11">
        <f>IF(B198="","",IF(J198="",TODAY()-C198,TODAY()-J198))</f>
        <v/>
      </c>
      <c r="L198" s="11">
        <f>IF(B198="","",IF(F198="Diario",1,IF(F198="Semanal",7,IF(F198="Quincenal",15,IF(F198="Mensual",30,30))))+Resumen!$B$2)</f>
        <v/>
      </c>
      <c r="M198" s="11">
        <f>IF(B198="","",IF(G198&lt;=0,"Pagado",IF(K198&gt;L198,"Atrasado","Al dia")))</f>
        <v/>
      </c>
    </row>
    <row r="199">
      <c r="A199" s="11">
        <f>IF(B199="","","P"&amp;TEXT(ROW()-1,"000"))</f>
        <v/>
      </c>
      <c r="B199" s="12" t="n"/>
      <c r="C199" s="13" t="n"/>
      <c r="D199" s="14" t="n"/>
      <c r="E199" s="15" t="n"/>
      <c r="F199" s="12" t="n"/>
      <c r="G199" s="16">
        <f>IF(B199="","",D199-SUMIFS(Pagos!$H:$H,Pagos!$B:$B,A199))</f>
        <v/>
      </c>
      <c r="H199" s="16">
        <f>IF(B199="","",SUMIFS(Pagos!$E:$E,Pagos!$B:$B,A199))</f>
        <v/>
      </c>
      <c r="I199" s="16">
        <f>IF(B199="","",SUMIFS(Pagos!$G:$G,Pagos!$B:$B,A199))</f>
        <v/>
      </c>
      <c r="J199" s="17">
        <f>IF(B199="","",IF(COUNTIF(Pagos!$B:$B,A199)=0,"",_xlfn.MAXIFS(Pagos!$D:$D,Pagos!$B:$B,A199)))</f>
        <v/>
      </c>
      <c r="K199" s="11">
        <f>IF(B199="","",IF(J199="",TODAY()-C199,TODAY()-J199))</f>
        <v/>
      </c>
      <c r="L199" s="11">
        <f>IF(B199="","",IF(F199="Diario",1,IF(F199="Semanal",7,IF(F199="Quincenal",15,IF(F199="Mensual",30,30))))+Resumen!$B$2)</f>
        <v/>
      </c>
      <c r="M199" s="11">
        <f>IF(B199="","",IF(G199&lt;=0,"Pagado",IF(K199&gt;L199,"Atrasado","Al dia")))</f>
        <v/>
      </c>
    </row>
    <row r="200">
      <c r="A200" s="11">
        <f>IF(B200="","","P"&amp;TEXT(ROW()-1,"000"))</f>
        <v/>
      </c>
      <c r="B200" s="12" t="n"/>
      <c r="C200" s="13" t="n"/>
      <c r="D200" s="14" t="n"/>
      <c r="E200" s="15" t="n"/>
      <c r="F200" s="12" t="n"/>
      <c r="G200" s="16">
        <f>IF(B200="","",D200-SUMIFS(Pagos!$H:$H,Pagos!$B:$B,A200))</f>
        <v/>
      </c>
      <c r="H200" s="16">
        <f>IF(B200="","",SUMIFS(Pagos!$E:$E,Pagos!$B:$B,A200))</f>
        <v/>
      </c>
      <c r="I200" s="16">
        <f>IF(B200="","",SUMIFS(Pagos!$G:$G,Pagos!$B:$B,A200))</f>
        <v/>
      </c>
      <c r="J200" s="17">
        <f>IF(B200="","",IF(COUNTIF(Pagos!$B:$B,A200)=0,"",_xlfn.MAXIFS(Pagos!$D:$D,Pagos!$B:$B,A200)))</f>
        <v/>
      </c>
      <c r="K200" s="11">
        <f>IF(B200="","",IF(J200="",TODAY()-C200,TODAY()-J200))</f>
        <v/>
      </c>
      <c r="L200" s="11">
        <f>IF(B200="","",IF(F200="Diario",1,IF(F200="Semanal",7,IF(F200="Quincenal",15,IF(F200="Mensual",30,30))))+Resumen!$B$2)</f>
        <v/>
      </c>
      <c r="M200" s="11">
        <f>IF(B200="","",IF(G200&lt;=0,"Pagado",IF(K200&gt;L200,"Atrasado","Al dia")))</f>
        <v/>
      </c>
    </row>
    <row r="201">
      <c r="A201" s="11">
        <f>IF(B201="","","P"&amp;TEXT(ROW()-1,"000"))</f>
        <v/>
      </c>
      <c r="B201" s="12" t="n"/>
      <c r="C201" s="13" t="n"/>
      <c r="D201" s="14" t="n"/>
      <c r="E201" s="15" t="n"/>
      <c r="F201" s="12" t="n"/>
      <c r="G201" s="16">
        <f>IF(B201="","",D201-SUMIFS(Pagos!$H:$H,Pagos!$B:$B,A201))</f>
        <v/>
      </c>
      <c r="H201" s="16">
        <f>IF(B201="","",SUMIFS(Pagos!$E:$E,Pagos!$B:$B,A201))</f>
        <v/>
      </c>
      <c r="I201" s="16">
        <f>IF(B201="","",SUMIFS(Pagos!$G:$G,Pagos!$B:$B,A201))</f>
        <v/>
      </c>
      <c r="J201" s="17">
        <f>IF(B201="","",IF(COUNTIF(Pagos!$B:$B,A201)=0,"",_xlfn.MAXIFS(Pagos!$D:$D,Pagos!$B:$B,A201)))</f>
        <v/>
      </c>
      <c r="K201" s="11">
        <f>IF(B201="","",IF(J201="",TODAY()-C201,TODAY()-J201))</f>
        <v/>
      </c>
      <c r="L201" s="11">
        <f>IF(B201="","",IF(F201="Diario",1,IF(F201="Semanal",7,IF(F201="Quincenal",15,IF(F201="Mensual",30,30))))+Resumen!$B$2)</f>
        <v/>
      </c>
      <c r="M201" s="11">
        <f>IF(B201="","",IF(G201&lt;=0,"Pagado",IF(K201&gt;L201,"Atrasado","Al dia")))</f>
        <v/>
      </c>
    </row>
    <row r="202">
      <c r="A202" s="11">
        <f>IF(B202="","","P"&amp;TEXT(ROW()-1,"000"))</f>
        <v/>
      </c>
      <c r="B202" s="12" t="n"/>
      <c r="C202" s="13" t="n"/>
      <c r="D202" s="14" t="n"/>
      <c r="E202" s="15" t="n"/>
      <c r="F202" s="12" t="n"/>
      <c r="G202" s="16">
        <f>IF(B202="","",D202-SUMIFS(Pagos!$H:$H,Pagos!$B:$B,A202))</f>
        <v/>
      </c>
      <c r="H202" s="16">
        <f>IF(B202="","",SUMIFS(Pagos!$E:$E,Pagos!$B:$B,A202))</f>
        <v/>
      </c>
      <c r="I202" s="16">
        <f>IF(B202="","",SUMIFS(Pagos!$G:$G,Pagos!$B:$B,A202))</f>
        <v/>
      </c>
      <c r="J202" s="17">
        <f>IF(B202="","",IF(COUNTIF(Pagos!$B:$B,A202)=0,"",_xlfn.MAXIFS(Pagos!$D:$D,Pagos!$B:$B,A202)))</f>
        <v/>
      </c>
      <c r="K202" s="11">
        <f>IF(B202="","",IF(J202="",TODAY()-C202,TODAY()-J202))</f>
        <v/>
      </c>
      <c r="L202" s="11">
        <f>IF(B202="","",IF(F202="Diario",1,IF(F202="Semanal",7,IF(F202="Quincenal",15,IF(F202="Mensual",30,30))))+Resumen!$B$2)</f>
        <v/>
      </c>
      <c r="M202" s="11">
        <f>IF(B202="","",IF(G202&lt;=0,"Pagado",IF(K202&gt;L202,"Atrasado","Al dia")))</f>
        <v/>
      </c>
    </row>
    <row r="203">
      <c r="A203" s="11">
        <f>IF(B203="","","P"&amp;TEXT(ROW()-1,"000"))</f>
        <v/>
      </c>
      <c r="B203" s="12" t="n"/>
      <c r="C203" s="13" t="n"/>
      <c r="D203" s="14" t="n"/>
      <c r="E203" s="15" t="n"/>
      <c r="F203" s="12" t="n"/>
      <c r="G203" s="16">
        <f>IF(B203="","",D203-SUMIFS(Pagos!$H:$H,Pagos!$B:$B,A203))</f>
        <v/>
      </c>
      <c r="H203" s="16">
        <f>IF(B203="","",SUMIFS(Pagos!$E:$E,Pagos!$B:$B,A203))</f>
        <v/>
      </c>
      <c r="I203" s="16">
        <f>IF(B203="","",SUMIFS(Pagos!$G:$G,Pagos!$B:$B,A203))</f>
        <v/>
      </c>
      <c r="J203" s="17">
        <f>IF(B203="","",IF(COUNTIF(Pagos!$B:$B,A203)=0,"",_xlfn.MAXIFS(Pagos!$D:$D,Pagos!$B:$B,A203)))</f>
        <v/>
      </c>
      <c r="K203" s="11">
        <f>IF(B203="","",IF(J203="",TODAY()-C203,TODAY()-J203))</f>
        <v/>
      </c>
      <c r="L203" s="11">
        <f>IF(B203="","",IF(F203="Diario",1,IF(F203="Semanal",7,IF(F203="Quincenal",15,IF(F203="Mensual",30,30))))+Resumen!$B$2)</f>
        <v/>
      </c>
      <c r="M203" s="11">
        <f>IF(B203="","",IF(G203&lt;=0,"Pagado",IF(K203&gt;L203,"Atrasado","Al dia")))</f>
        <v/>
      </c>
    </row>
    <row r="204">
      <c r="A204" s="11">
        <f>IF(B204="","","P"&amp;TEXT(ROW()-1,"000"))</f>
        <v/>
      </c>
      <c r="B204" s="12" t="n"/>
      <c r="C204" s="13" t="n"/>
      <c r="D204" s="14" t="n"/>
      <c r="E204" s="15" t="n"/>
      <c r="F204" s="12" t="n"/>
      <c r="G204" s="16">
        <f>IF(B204="","",D204-SUMIFS(Pagos!$H:$H,Pagos!$B:$B,A204))</f>
        <v/>
      </c>
      <c r="H204" s="16">
        <f>IF(B204="","",SUMIFS(Pagos!$E:$E,Pagos!$B:$B,A204))</f>
        <v/>
      </c>
      <c r="I204" s="16">
        <f>IF(B204="","",SUMIFS(Pagos!$G:$G,Pagos!$B:$B,A204))</f>
        <v/>
      </c>
      <c r="J204" s="17">
        <f>IF(B204="","",IF(COUNTIF(Pagos!$B:$B,A204)=0,"",_xlfn.MAXIFS(Pagos!$D:$D,Pagos!$B:$B,A204)))</f>
        <v/>
      </c>
      <c r="K204" s="11">
        <f>IF(B204="","",IF(J204="",TODAY()-C204,TODAY()-J204))</f>
        <v/>
      </c>
      <c r="L204" s="11">
        <f>IF(B204="","",IF(F204="Diario",1,IF(F204="Semanal",7,IF(F204="Quincenal",15,IF(F204="Mensual",30,30))))+Resumen!$B$2)</f>
        <v/>
      </c>
      <c r="M204" s="11">
        <f>IF(B204="","",IF(G204&lt;=0,"Pagado",IF(K204&gt;L204,"Atrasado","Al dia")))</f>
        <v/>
      </c>
    </row>
    <row r="205">
      <c r="A205" s="11">
        <f>IF(B205="","","P"&amp;TEXT(ROW()-1,"000"))</f>
        <v/>
      </c>
      <c r="B205" s="12" t="n"/>
      <c r="C205" s="13" t="n"/>
      <c r="D205" s="14" t="n"/>
      <c r="E205" s="15" t="n"/>
      <c r="F205" s="12" t="n"/>
      <c r="G205" s="16">
        <f>IF(B205="","",D205-SUMIFS(Pagos!$H:$H,Pagos!$B:$B,A205))</f>
        <v/>
      </c>
      <c r="H205" s="16">
        <f>IF(B205="","",SUMIFS(Pagos!$E:$E,Pagos!$B:$B,A205))</f>
        <v/>
      </c>
      <c r="I205" s="16">
        <f>IF(B205="","",SUMIFS(Pagos!$G:$G,Pagos!$B:$B,A205))</f>
        <v/>
      </c>
      <c r="J205" s="17">
        <f>IF(B205="","",IF(COUNTIF(Pagos!$B:$B,A205)=0,"",_xlfn.MAXIFS(Pagos!$D:$D,Pagos!$B:$B,A205)))</f>
        <v/>
      </c>
      <c r="K205" s="11">
        <f>IF(B205="","",IF(J205="",TODAY()-C205,TODAY()-J205))</f>
        <v/>
      </c>
      <c r="L205" s="11">
        <f>IF(B205="","",IF(F205="Diario",1,IF(F205="Semanal",7,IF(F205="Quincenal",15,IF(F205="Mensual",30,30))))+Resumen!$B$2)</f>
        <v/>
      </c>
      <c r="M205" s="11">
        <f>IF(B205="","",IF(G205&lt;=0,"Pagado",IF(K205&gt;L205,"Atrasado","Al dia")))</f>
        <v/>
      </c>
    </row>
    <row r="206">
      <c r="A206" s="11">
        <f>IF(B206="","","P"&amp;TEXT(ROW()-1,"000"))</f>
        <v/>
      </c>
      <c r="B206" s="12" t="n"/>
      <c r="C206" s="13" t="n"/>
      <c r="D206" s="14" t="n"/>
      <c r="E206" s="15" t="n"/>
      <c r="F206" s="12" t="n"/>
      <c r="G206" s="16">
        <f>IF(B206="","",D206-SUMIFS(Pagos!$H:$H,Pagos!$B:$B,A206))</f>
        <v/>
      </c>
      <c r="H206" s="16">
        <f>IF(B206="","",SUMIFS(Pagos!$E:$E,Pagos!$B:$B,A206))</f>
        <v/>
      </c>
      <c r="I206" s="16">
        <f>IF(B206="","",SUMIFS(Pagos!$G:$G,Pagos!$B:$B,A206))</f>
        <v/>
      </c>
      <c r="J206" s="17">
        <f>IF(B206="","",IF(COUNTIF(Pagos!$B:$B,A206)=0,"",_xlfn.MAXIFS(Pagos!$D:$D,Pagos!$B:$B,A206)))</f>
        <v/>
      </c>
      <c r="K206" s="11">
        <f>IF(B206="","",IF(J206="",TODAY()-C206,TODAY()-J206))</f>
        <v/>
      </c>
      <c r="L206" s="11">
        <f>IF(B206="","",IF(F206="Diario",1,IF(F206="Semanal",7,IF(F206="Quincenal",15,IF(F206="Mensual",30,30))))+Resumen!$B$2)</f>
        <v/>
      </c>
      <c r="M206" s="11">
        <f>IF(B206="","",IF(G206&lt;=0,"Pagado",IF(K206&gt;L206,"Atrasado","Al dia")))</f>
        <v/>
      </c>
    </row>
    <row r="207">
      <c r="A207" s="11">
        <f>IF(B207="","","P"&amp;TEXT(ROW()-1,"000"))</f>
        <v/>
      </c>
      <c r="B207" s="12" t="n"/>
      <c r="C207" s="13" t="n"/>
      <c r="D207" s="14" t="n"/>
      <c r="E207" s="15" t="n"/>
      <c r="F207" s="12" t="n"/>
      <c r="G207" s="16">
        <f>IF(B207="","",D207-SUMIFS(Pagos!$H:$H,Pagos!$B:$B,A207))</f>
        <v/>
      </c>
      <c r="H207" s="16">
        <f>IF(B207="","",SUMIFS(Pagos!$E:$E,Pagos!$B:$B,A207))</f>
        <v/>
      </c>
      <c r="I207" s="16">
        <f>IF(B207="","",SUMIFS(Pagos!$G:$G,Pagos!$B:$B,A207))</f>
        <v/>
      </c>
      <c r="J207" s="17">
        <f>IF(B207="","",IF(COUNTIF(Pagos!$B:$B,A207)=0,"",_xlfn.MAXIFS(Pagos!$D:$D,Pagos!$B:$B,A207)))</f>
        <v/>
      </c>
      <c r="K207" s="11">
        <f>IF(B207="","",IF(J207="",TODAY()-C207,TODAY()-J207))</f>
        <v/>
      </c>
      <c r="L207" s="11">
        <f>IF(B207="","",IF(F207="Diario",1,IF(F207="Semanal",7,IF(F207="Quincenal",15,IF(F207="Mensual",30,30))))+Resumen!$B$2)</f>
        <v/>
      </c>
      <c r="M207" s="11">
        <f>IF(B207="","",IF(G207&lt;=0,"Pagado",IF(K207&gt;L207,"Atrasado","Al dia")))</f>
        <v/>
      </c>
    </row>
    <row r="208">
      <c r="A208" s="11">
        <f>IF(B208="","","P"&amp;TEXT(ROW()-1,"000"))</f>
        <v/>
      </c>
      <c r="B208" s="12" t="n"/>
      <c r="C208" s="13" t="n"/>
      <c r="D208" s="14" t="n"/>
      <c r="E208" s="15" t="n"/>
      <c r="F208" s="12" t="n"/>
      <c r="G208" s="16">
        <f>IF(B208="","",D208-SUMIFS(Pagos!$H:$H,Pagos!$B:$B,A208))</f>
        <v/>
      </c>
      <c r="H208" s="16">
        <f>IF(B208="","",SUMIFS(Pagos!$E:$E,Pagos!$B:$B,A208))</f>
        <v/>
      </c>
      <c r="I208" s="16">
        <f>IF(B208="","",SUMIFS(Pagos!$G:$G,Pagos!$B:$B,A208))</f>
        <v/>
      </c>
      <c r="J208" s="17">
        <f>IF(B208="","",IF(COUNTIF(Pagos!$B:$B,A208)=0,"",_xlfn.MAXIFS(Pagos!$D:$D,Pagos!$B:$B,A208)))</f>
        <v/>
      </c>
      <c r="K208" s="11">
        <f>IF(B208="","",IF(J208="",TODAY()-C208,TODAY()-J208))</f>
        <v/>
      </c>
      <c r="L208" s="11">
        <f>IF(B208="","",IF(F208="Diario",1,IF(F208="Semanal",7,IF(F208="Quincenal",15,IF(F208="Mensual",30,30))))+Resumen!$B$2)</f>
        <v/>
      </c>
      <c r="M208" s="11">
        <f>IF(B208="","",IF(G208&lt;=0,"Pagado",IF(K208&gt;L208,"Atrasado","Al dia")))</f>
        <v/>
      </c>
    </row>
    <row r="209">
      <c r="A209" s="11">
        <f>IF(B209="","","P"&amp;TEXT(ROW()-1,"000"))</f>
        <v/>
      </c>
      <c r="B209" s="12" t="n"/>
      <c r="C209" s="13" t="n"/>
      <c r="D209" s="14" t="n"/>
      <c r="E209" s="15" t="n"/>
      <c r="F209" s="12" t="n"/>
      <c r="G209" s="16">
        <f>IF(B209="","",D209-SUMIFS(Pagos!$H:$H,Pagos!$B:$B,A209))</f>
        <v/>
      </c>
      <c r="H209" s="16">
        <f>IF(B209="","",SUMIFS(Pagos!$E:$E,Pagos!$B:$B,A209))</f>
        <v/>
      </c>
      <c r="I209" s="16">
        <f>IF(B209="","",SUMIFS(Pagos!$G:$G,Pagos!$B:$B,A209))</f>
        <v/>
      </c>
      <c r="J209" s="17">
        <f>IF(B209="","",IF(COUNTIF(Pagos!$B:$B,A209)=0,"",_xlfn.MAXIFS(Pagos!$D:$D,Pagos!$B:$B,A209)))</f>
        <v/>
      </c>
      <c r="K209" s="11">
        <f>IF(B209="","",IF(J209="",TODAY()-C209,TODAY()-J209))</f>
        <v/>
      </c>
      <c r="L209" s="11">
        <f>IF(B209="","",IF(F209="Diario",1,IF(F209="Semanal",7,IF(F209="Quincenal",15,IF(F209="Mensual",30,30))))+Resumen!$B$2)</f>
        <v/>
      </c>
      <c r="M209" s="11">
        <f>IF(B209="","",IF(G209&lt;=0,"Pagado",IF(K209&gt;L209,"Atrasado","Al dia")))</f>
        <v/>
      </c>
    </row>
    <row r="210">
      <c r="A210" s="11">
        <f>IF(B210="","","P"&amp;TEXT(ROW()-1,"000"))</f>
        <v/>
      </c>
      <c r="B210" s="12" t="n"/>
      <c r="C210" s="13" t="n"/>
      <c r="D210" s="14" t="n"/>
      <c r="E210" s="15" t="n"/>
      <c r="F210" s="12" t="n"/>
      <c r="G210" s="16">
        <f>IF(B210="","",D210-SUMIFS(Pagos!$H:$H,Pagos!$B:$B,A210))</f>
        <v/>
      </c>
      <c r="H210" s="16">
        <f>IF(B210="","",SUMIFS(Pagos!$E:$E,Pagos!$B:$B,A210))</f>
        <v/>
      </c>
      <c r="I210" s="16">
        <f>IF(B210="","",SUMIFS(Pagos!$G:$G,Pagos!$B:$B,A210))</f>
        <v/>
      </c>
      <c r="J210" s="17">
        <f>IF(B210="","",IF(COUNTIF(Pagos!$B:$B,A210)=0,"",_xlfn.MAXIFS(Pagos!$D:$D,Pagos!$B:$B,A210)))</f>
        <v/>
      </c>
      <c r="K210" s="11">
        <f>IF(B210="","",IF(J210="",TODAY()-C210,TODAY()-J210))</f>
        <v/>
      </c>
      <c r="L210" s="11">
        <f>IF(B210="","",IF(F210="Diario",1,IF(F210="Semanal",7,IF(F210="Quincenal",15,IF(F210="Mensual",30,30))))+Resumen!$B$2)</f>
        <v/>
      </c>
      <c r="M210" s="11">
        <f>IF(B210="","",IF(G210&lt;=0,"Pagado",IF(K210&gt;L210,"Atrasado","Al dia")))</f>
        <v/>
      </c>
    </row>
    <row r="211">
      <c r="A211" s="11">
        <f>IF(B211="","","P"&amp;TEXT(ROW()-1,"000"))</f>
        <v/>
      </c>
      <c r="B211" s="12" t="n"/>
      <c r="C211" s="13" t="n"/>
      <c r="D211" s="14" t="n"/>
      <c r="E211" s="15" t="n"/>
      <c r="F211" s="12" t="n"/>
      <c r="G211" s="16">
        <f>IF(B211="","",D211-SUMIFS(Pagos!$H:$H,Pagos!$B:$B,A211))</f>
        <v/>
      </c>
      <c r="H211" s="16">
        <f>IF(B211="","",SUMIFS(Pagos!$E:$E,Pagos!$B:$B,A211))</f>
        <v/>
      </c>
      <c r="I211" s="16">
        <f>IF(B211="","",SUMIFS(Pagos!$G:$G,Pagos!$B:$B,A211))</f>
        <v/>
      </c>
      <c r="J211" s="17">
        <f>IF(B211="","",IF(COUNTIF(Pagos!$B:$B,A211)=0,"",_xlfn.MAXIFS(Pagos!$D:$D,Pagos!$B:$B,A211)))</f>
        <v/>
      </c>
      <c r="K211" s="11">
        <f>IF(B211="","",IF(J211="",TODAY()-C211,TODAY()-J211))</f>
        <v/>
      </c>
      <c r="L211" s="11">
        <f>IF(B211="","",IF(F211="Diario",1,IF(F211="Semanal",7,IF(F211="Quincenal",15,IF(F211="Mensual",30,30))))+Resumen!$B$2)</f>
        <v/>
      </c>
      <c r="M211" s="11">
        <f>IF(B211="","",IF(G211&lt;=0,"Pagado",IF(K211&gt;L211,"Atrasado","Al dia")))</f>
        <v/>
      </c>
    </row>
    <row r="212">
      <c r="A212" s="11">
        <f>IF(B212="","","P"&amp;TEXT(ROW()-1,"000"))</f>
        <v/>
      </c>
      <c r="B212" s="12" t="n"/>
      <c r="C212" s="13" t="n"/>
      <c r="D212" s="14" t="n"/>
      <c r="E212" s="15" t="n"/>
      <c r="F212" s="12" t="n"/>
      <c r="G212" s="16">
        <f>IF(B212="","",D212-SUMIFS(Pagos!$H:$H,Pagos!$B:$B,A212))</f>
        <v/>
      </c>
      <c r="H212" s="16">
        <f>IF(B212="","",SUMIFS(Pagos!$E:$E,Pagos!$B:$B,A212))</f>
        <v/>
      </c>
      <c r="I212" s="16">
        <f>IF(B212="","",SUMIFS(Pagos!$G:$G,Pagos!$B:$B,A212))</f>
        <v/>
      </c>
      <c r="J212" s="17">
        <f>IF(B212="","",IF(COUNTIF(Pagos!$B:$B,A212)=0,"",_xlfn.MAXIFS(Pagos!$D:$D,Pagos!$B:$B,A212)))</f>
        <v/>
      </c>
      <c r="K212" s="11">
        <f>IF(B212="","",IF(J212="",TODAY()-C212,TODAY()-J212))</f>
        <v/>
      </c>
      <c r="L212" s="11">
        <f>IF(B212="","",IF(F212="Diario",1,IF(F212="Semanal",7,IF(F212="Quincenal",15,IF(F212="Mensual",30,30))))+Resumen!$B$2)</f>
        <v/>
      </c>
      <c r="M212" s="11">
        <f>IF(B212="","",IF(G212&lt;=0,"Pagado",IF(K212&gt;L212,"Atrasado","Al dia")))</f>
        <v/>
      </c>
    </row>
    <row r="213">
      <c r="A213" s="11">
        <f>IF(B213="","","P"&amp;TEXT(ROW()-1,"000"))</f>
        <v/>
      </c>
      <c r="B213" s="12" t="n"/>
      <c r="C213" s="13" t="n"/>
      <c r="D213" s="14" t="n"/>
      <c r="E213" s="15" t="n"/>
      <c r="F213" s="12" t="n"/>
      <c r="G213" s="16">
        <f>IF(B213="","",D213-SUMIFS(Pagos!$H:$H,Pagos!$B:$B,A213))</f>
        <v/>
      </c>
      <c r="H213" s="16">
        <f>IF(B213="","",SUMIFS(Pagos!$E:$E,Pagos!$B:$B,A213))</f>
        <v/>
      </c>
      <c r="I213" s="16">
        <f>IF(B213="","",SUMIFS(Pagos!$G:$G,Pagos!$B:$B,A213))</f>
        <v/>
      </c>
      <c r="J213" s="17">
        <f>IF(B213="","",IF(COUNTIF(Pagos!$B:$B,A213)=0,"",_xlfn.MAXIFS(Pagos!$D:$D,Pagos!$B:$B,A213)))</f>
        <v/>
      </c>
      <c r="K213" s="11">
        <f>IF(B213="","",IF(J213="",TODAY()-C213,TODAY()-J213))</f>
        <v/>
      </c>
      <c r="L213" s="11">
        <f>IF(B213="","",IF(F213="Diario",1,IF(F213="Semanal",7,IF(F213="Quincenal",15,IF(F213="Mensual",30,30))))+Resumen!$B$2)</f>
        <v/>
      </c>
      <c r="M213" s="11">
        <f>IF(B213="","",IF(G213&lt;=0,"Pagado",IF(K213&gt;L213,"Atrasado","Al dia")))</f>
        <v/>
      </c>
    </row>
    <row r="214">
      <c r="A214" s="11">
        <f>IF(B214="","","P"&amp;TEXT(ROW()-1,"000"))</f>
        <v/>
      </c>
      <c r="B214" s="12" t="n"/>
      <c r="C214" s="13" t="n"/>
      <c r="D214" s="14" t="n"/>
      <c r="E214" s="15" t="n"/>
      <c r="F214" s="12" t="n"/>
      <c r="G214" s="16">
        <f>IF(B214="","",D214-SUMIFS(Pagos!$H:$H,Pagos!$B:$B,A214))</f>
        <v/>
      </c>
      <c r="H214" s="16">
        <f>IF(B214="","",SUMIFS(Pagos!$E:$E,Pagos!$B:$B,A214))</f>
        <v/>
      </c>
      <c r="I214" s="16">
        <f>IF(B214="","",SUMIFS(Pagos!$G:$G,Pagos!$B:$B,A214))</f>
        <v/>
      </c>
      <c r="J214" s="17">
        <f>IF(B214="","",IF(COUNTIF(Pagos!$B:$B,A214)=0,"",_xlfn.MAXIFS(Pagos!$D:$D,Pagos!$B:$B,A214)))</f>
        <v/>
      </c>
      <c r="K214" s="11">
        <f>IF(B214="","",IF(J214="",TODAY()-C214,TODAY()-J214))</f>
        <v/>
      </c>
      <c r="L214" s="11">
        <f>IF(B214="","",IF(F214="Diario",1,IF(F214="Semanal",7,IF(F214="Quincenal",15,IF(F214="Mensual",30,30))))+Resumen!$B$2)</f>
        <v/>
      </c>
      <c r="M214" s="11">
        <f>IF(B214="","",IF(G214&lt;=0,"Pagado",IF(K214&gt;L214,"Atrasado","Al dia")))</f>
        <v/>
      </c>
    </row>
    <row r="215">
      <c r="A215" s="11">
        <f>IF(B215="","","P"&amp;TEXT(ROW()-1,"000"))</f>
        <v/>
      </c>
      <c r="B215" s="12" t="n"/>
      <c r="C215" s="13" t="n"/>
      <c r="D215" s="14" t="n"/>
      <c r="E215" s="15" t="n"/>
      <c r="F215" s="12" t="n"/>
      <c r="G215" s="16">
        <f>IF(B215="","",D215-SUMIFS(Pagos!$H:$H,Pagos!$B:$B,A215))</f>
        <v/>
      </c>
      <c r="H215" s="16">
        <f>IF(B215="","",SUMIFS(Pagos!$E:$E,Pagos!$B:$B,A215))</f>
        <v/>
      </c>
      <c r="I215" s="16">
        <f>IF(B215="","",SUMIFS(Pagos!$G:$G,Pagos!$B:$B,A215))</f>
        <v/>
      </c>
      <c r="J215" s="17">
        <f>IF(B215="","",IF(COUNTIF(Pagos!$B:$B,A215)=0,"",_xlfn.MAXIFS(Pagos!$D:$D,Pagos!$B:$B,A215)))</f>
        <v/>
      </c>
      <c r="K215" s="11">
        <f>IF(B215="","",IF(J215="",TODAY()-C215,TODAY()-J215))</f>
        <v/>
      </c>
      <c r="L215" s="11">
        <f>IF(B215="","",IF(F215="Diario",1,IF(F215="Semanal",7,IF(F215="Quincenal",15,IF(F215="Mensual",30,30))))+Resumen!$B$2)</f>
        <v/>
      </c>
      <c r="M215" s="11">
        <f>IF(B215="","",IF(G215&lt;=0,"Pagado",IF(K215&gt;L215,"Atrasado","Al dia")))</f>
        <v/>
      </c>
    </row>
    <row r="216">
      <c r="A216" s="11">
        <f>IF(B216="","","P"&amp;TEXT(ROW()-1,"000"))</f>
        <v/>
      </c>
      <c r="B216" s="12" t="n"/>
      <c r="C216" s="13" t="n"/>
      <c r="D216" s="14" t="n"/>
      <c r="E216" s="15" t="n"/>
      <c r="F216" s="12" t="n"/>
      <c r="G216" s="16">
        <f>IF(B216="","",D216-SUMIFS(Pagos!$H:$H,Pagos!$B:$B,A216))</f>
        <v/>
      </c>
      <c r="H216" s="16">
        <f>IF(B216="","",SUMIFS(Pagos!$E:$E,Pagos!$B:$B,A216))</f>
        <v/>
      </c>
      <c r="I216" s="16">
        <f>IF(B216="","",SUMIFS(Pagos!$G:$G,Pagos!$B:$B,A216))</f>
        <v/>
      </c>
      <c r="J216" s="17">
        <f>IF(B216="","",IF(COUNTIF(Pagos!$B:$B,A216)=0,"",_xlfn.MAXIFS(Pagos!$D:$D,Pagos!$B:$B,A216)))</f>
        <v/>
      </c>
      <c r="K216" s="11">
        <f>IF(B216="","",IF(J216="",TODAY()-C216,TODAY()-J216))</f>
        <v/>
      </c>
      <c r="L216" s="11">
        <f>IF(B216="","",IF(F216="Diario",1,IF(F216="Semanal",7,IF(F216="Quincenal",15,IF(F216="Mensual",30,30))))+Resumen!$B$2)</f>
        <v/>
      </c>
      <c r="M216" s="11">
        <f>IF(B216="","",IF(G216&lt;=0,"Pagado",IF(K216&gt;L216,"Atrasado","Al dia")))</f>
        <v/>
      </c>
    </row>
    <row r="217">
      <c r="A217" s="11">
        <f>IF(B217="","","P"&amp;TEXT(ROW()-1,"000"))</f>
        <v/>
      </c>
      <c r="B217" s="12" t="n"/>
      <c r="C217" s="13" t="n"/>
      <c r="D217" s="14" t="n"/>
      <c r="E217" s="15" t="n"/>
      <c r="F217" s="12" t="n"/>
      <c r="G217" s="16">
        <f>IF(B217="","",D217-SUMIFS(Pagos!$H:$H,Pagos!$B:$B,A217))</f>
        <v/>
      </c>
      <c r="H217" s="16">
        <f>IF(B217="","",SUMIFS(Pagos!$E:$E,Pagos!$B:$B,A217))</f>
        <v/>
      </c>
      <c r="I217" s="16">
        <f>IF(B217="","",SUMIFS(Pagos!$G:$G,Pagos!$B:$B,A217))</f>
        <v/>
      </c>
      <c r="J217" s="17">
        <f>IF(B217="","",IF(COUNTIF(Pagos!$B:$B,A217)=0,"",_xlfn.MAXIFS(Pagos!$D:$D,Pagos!$B:$B,A217)))</f>
        <v/>
      </c>
      <c r="K217" s="11">
        <f>IF(B217="","",IF(J217="",TODAY()-C217,TODAY()-J217))</f>
        <v/>
      </c>
      <c r="L217" s="11">
        <f>IF(B217="","",IF(F217="Diario",1,IF(F217="Semanal",7,IF(F217="Quincenal",15,IF(F217="Mensual",30,30))))+Resumen!$B$2)</f>
        <v/>
      </c>
      <c r="M217" s="11">
        <f>IF(B217="","",IF(G217&lt;=0,"Pagado",IF(K217&gt;L217,"Atrasado","Al dia")))</f>
        <v/>
      </c>
    </row>
    <row r="218">
      <c r="A218" s="11">
        <f>IF(B218="","","P"&amp;TEXT(ROW()-1,"000"))</f>
        <v/>
      </c>
      <c r="B218" s="12" t="n"/>
      <c r="C218" s="13" t="n"/>
      <c r="D218" s="14" t="n"/>
      <c r="E218" s="15" t="n"/>
      <c r="F218" s="12" t="n"/>
      <c r="G218" s="16">
        <f>IF(B218="","",D218-SUMIFS(Pagos!$H:$H,Pagos!$B:$B,A218))</f>
        <v/>
      </c>
      <c r="H218" s="16">
        <f>IF(B218="","",SUMIFS(Pagos!$E:$E,Pagos!$B:$B,A218))</f>
        <v/>
      </c>
      <c r="I218" s="16">
        <f>IF(B218="","",SUMIFS(Pagos!$G:$G,Pagos!$B:$B,A218))</f>
        <v/>
      </c>
      <c r="J218" s="17">
        <f>IF(B218="","",IF(COUNTIF(Pagos!$B:$B,A218)=0,"",_xlfn.MAXIFS(Pagos!$D:$D,Pagos!$B:$B,A218)))</f>
        <v/>
      </c>
      <c r="K218" s="11">
        <f>IF(B218="","",IF(J218="",TODAY()-C218,TODAY()-J218))</f>
        <v/>
      </c>
      <c r="L218" s="11">
        <f>IF(B218="","",IF(F218="Diario",1,IF(F218="Semanal",7,IF(F218="Quincenal",15,IF(F218="Mensual",30,30))))+Resumen!$B$2)</f>
        <v/>
      </c>
      <c r="M218" s="11">
        <f>IF(B218="","",IF(G218&lt;=0,"Pagado",IF(K218&gt;L218,"Atrasado","Al dia")))</f>
        <v/>
      </c>
    </row>
    <row r="219">
      <c r="A219" s="11">
        <f>IF(B219="","","P"&amp;TEXT(ROW()-1,"000"))</f>
        <v/>
      </c>
      <c r="B219" s="12" t="n"/>
      <c r="C219" s="13" t="n"/>
      <c r="D219" s="14" t="n"/>
      <c r="E219" s="15" t="n"/>
      <c r="F219" s="12" t="n"/>
      <c r="G219" s="16">
        <f>IF(B219="","",D219-SUMIFS(Pagos!$H:$H,Pagos!$B:$B,A219))</f>
        <v/>
      </c>
      <c r="H219" s="16">
        <f>IF(B219="","",SUMIFS(Pagos!$E:$E,Pagos!$B:$B,A219))</f>
        <v/>
      </c>
      <c r="I219" s="16">
        <f>IF(B219="","",SUMIFS(Pagos!$G:$G,Pagos!$B:$B,A219))</f>
        <v/>
      </c>
      <c r="J219" s="17">
        <f>IF(B219="","",IF(COUNTIF(Pagos!$B:$B,A219)=0,"",_xlfn.MAXIFS(Pagos!$D:$D,Pagos!$B:$B,A219)))</f>
        <v/>
      </c>
      <c r="K219" s="11">
        <f>IF(B219="","",IF(J219="",TODAY()-C219,TODAY()-J219))</f>
        <v/>
      </c>
      <c r="L219" s="11">
        <f>IF(B219="","",IF(F219="Diario",1,IF(F219="Semanal",7,IF(F219="Quincenal",15,IF(F219="Mensual",30,30))))+Resumen!$B$2)</f>
        <v/>
      </c>
      <c r="M219" s="11">
        <f>IF(B219="","",IF(G219&lt;=0,"Pagado",IF(K219&gt;L219,"Atrasado","Al dia")))</f>
        <v/>
      </c>
    </row>
    <row r="220">
      <c r="A220" s="11">
        <f>IF(B220="","","P"&amp;TEXT(ROW()-1,"000"))</f>
        <v/>
      </c>
      <c r="B220" s="12" t="n"/>
      <c r="C220" s="13" t="n"/>
      <c r="D220" s="14" t="n"/>
      <c r="E220" s="15" t="n"/>
      <c r="F220" s="12" t="n"/>
      <c r="G220" s="16">
        <f>IF(B220="","",D220-SUMIFS(Pagos!$H:$H,Pagos!$B:$B,A220))</f>
        <v/>
      </c>
      <c r="H220" s="16">
        <f>IF(B220="","",SUMIFS(Pagos!$E:$E,Pagos!$B:$B,A220))</f>
        <v/>
      </c>
      <c r="I220" s="16">
        <f>IF(B220="","",SUMIFS(Pagos!$G:$G,Pagos!$B:$B,A220))</f>
        <v/>
      </c>
      <c r="J220" s="17">
        <f>IF(B220="","",IF(COUNTIF(Pagos!$B:$B,A220)=0,"",_xlfn.MAXIFS(Pagos!$D:$D,Pagos!$B:$B,A220)))</f>
        <v/>
      </c>
      <c r="K220" s="11">
        <f>IF(B220="","",IF(J220="",TODAY()-C220,TODAY()-J220))</f>
        <v/>
      </c>
      <c r="L220" s="11">
        <f>IF(B220="","",IF(F220="Diario",1,IF(F220="Semanal",7,IF(F220="Quincenal",15,IF(F220="Mensual",30,30))))+Resumen!$B$2)</f>
        <v/>
      </c>
      <c r="M220" s="11">
        <f>IF(B220="","",IF(G220&lt;=0,"Pagado",IF(K220&gt;L220,"Atrasado","Al dia")))</f>
        <v/>
      </c>
    </row>
    <row r="221">
      <c r="A221" s="11">
        <f>IF(B221="","","P"&amp;TEXT(ROW()-1,"000"))</f>
        <v/>
      </c>
      <c r="B221" s="12" t="n"/>
      <c r="C221" s="13" t="n"/>
      <c r="D221" s="14" t="n"/>
      <c r="E221" s="15" t="n"/>
      <c r="F221" s="12" t="n"/>
      <c r="G221" s="16">
        <f>IF(B221="","",D221-SUMIFS(Pagos!$H:$H,Pagos!$B:$B,A221))</f>
        <v/>
      </c>
      <c r="H221" s="16">
        <f>IF(B221="","",SUMIFS(Pagos!$E:$E,Pagos!$B:$B,A221))</f>
        <v/>
      </c>
      <c r="I221" s="16">
        <f>IF(B221="","",SUMIFS(Pagos!$G:$G,Pagos!$B:$B,A221))</f>
        <v/>
      </c>
      <c r="J221" s="17">
        <f>IF(B221="","",IF(COUNTIF(Pagos!$B:$B,A221)=0,"",_xlfn.MAXIFS(Pagos!$D:$D,Pagos!$B:$B,A221)))</f>
        <v/>
      </c>
      <c r="K221" s="11">
        <f>IF(B221="","",IF(J221="",TODAY()-C221,TODAY()-J221))</f>
        <v/>
      </c>
      <c r="L221" s="11">
        <f>IF(B221="","",IF(F221="Diario",1,IF(F221="Semanal",7,IF(F221="Quincenal",15,IF(F221="Mensual",30,30))))+Resumen!$B$2)</f>
        <v/>
      </c>
      <c r="M221" s="11">
        <f>IF(B221="","",IF(G221&lt;=0,"Pagado",IF(K221&gt;L221,"Atrasado","Al dia")))</f>
        <v/>
      </c>
    </row>
    <row r="222">
      <c r="A222" s="11">
        <f>IF(B222="","","P"&amp;TEXT(ROW()-1,"000"))</f>
        <v/>
      </c>
      <c r="B222" s="12" t="n"/>
      <c r="C222" s="13" t="n"/>
      <c r="D222" s="14" t="n"/>
      <c r="E222" s="15" t="n"/>
      <c r="F222" s="12" t="n"/>
      <c r="G222" s="16">
        <f>IF(B222="","",D222-SUMIFS(Pagos!$H:$H,Pagos!$B:$B,A222))</f>
        <v/>
      </c>
      <c r="H222" s="16">
        <f>IF(B222="","",SUMIFS(Pagos!$E:$E,Pagos!$B:$B,A222))</f>
        <v/>
      </c>
      <c r="I222" s="16">
        <f>IF(B222="","",SUMIFS(Pagos!$G:$G,Pagos!$B:$B,A222))</f>
        <v/>
      </c>
      <c r="J222" s="17">
        <f>IF(B222="","",IF(COUNTIF(Pagos!$B:$B,A222)=0,"",_xlfn.MAXIFS(Pagos!$D:$D,Pagos!$B:$B,A222)))</f>
        <v/>
      </c>
      <c r="K222" s="11">
        <f>IF(B222="","",IF(J222="",TODAY()-C222,TODAY()-J222))</f>
        <v/>
      </c>
      <c r="L222" s="11">
        <f>IF(B222="","",IF(F222="Diario",1,IF(F222="Semanal",7,IF(F222="Quincenal",15,IF(F222="Mensual",30,30))))+Resumen!$B$2)</f>
        <v/>
      </c>
      <c r="M222" s="11">
        <f>IF(B222="","",IF(G222&lt;=0,"Pagado",IF(K222&gt;L222,"Atrasado","Al dia")))</f>
        <v/>
      </c>
    </row>
    <row r="223">
      <c r="A223" s="11">
        <f>IF(B223="","","P"&amp;TEXT(ROW()-1,"000"))</f>
        <v/>
      </c>
      <c r="B223" s="12" t="n"/>
      <c r="C223" s="13" t="n"/>
      <c r="D223" s="14" t="n"/>
      <c r="E223" s="15" t="n"/>
      <c r="F223" s="12" t="n"/>
      <c r="G223" s="16">
        <f>IF(B223="","",D223-SUMIFS(Pagos!$H:$H,Pagos!$B:$B,A223))</f>
        <v/>
      </c>
      <c r="H223" s="16">
        <f>IF(B223="","",SUMIFS(Pagos!$E:$E,Pagos!$B:$B,A223))</f>
        <v/>
      </c>
      <c r="I223" s="16">
        <f>IF(B223="","",SUMIFS(Pagos!$G:$G,Pagos!$B:$B,A223))</f>
        <v/>
      </c>
      <c r="J223" s="17">
        <f>IF(B223="","",IF(COUNTIF(Pagos!$B:$B,A223)=0,"",_xlfn.MAXIFS(Pagos!$D:$D,Pagos!$B:$B,A223)))</f>
        <v/>
      </c>
      <c r="K223" s="11">
        <f>IF(B223="","",IF(J223="",TODAY()-C223,TODAY()-J223))</f>
        <v/>
      </c>
      <c r="L223" s="11">
        <f>IF(B223="","",IF(F223="Diario",1,IF(F223="Semanal",7,IF(F223="Quincenal",15,IF(F223="Mensual",30,30))))+Resumen!$B$2)</f>
        <v/>
      </c>
      <c r="M223" s="11">
        <f>IF(B223="","",IF(G223&lt;=0,"Pagado",IF(K223&gt;L223,"Atrasado","Al dia")))</f>
        <v/>
      </c>
    </row>
    <row r="224">
      <c r="A224" s="11">
        <f>IF(B224="","","P"&amp;TEXT(ROW()-1,"000"))</f>
        <v/>
      </c>
      <c r="B224" s="12" t="n"/>
      <c r="C224" s="13" t="n"/>
      <c r="D224" s="14" t="n"/>
      <c r="E224" s="15" t="n"/>
      <c r="F224" s="12" t="n"/>
      <c r="G224" s="16">
        <f>IF(B224="","",D224-SUMIFS(Pagos!$H:$H,Pagos!$B:$B,A224))</f>
        <v/>
      </c>
      <c r="H224" s="16">
        <f>IF(B224="","",SUMIFS(Pagos!$E:$E,Pagos!$B:$B,A224))</f>
        <v/>
      </c>
      <c r="I224" s="16">
        <f>IF(B224="","",SUMIFS(Pagos!$G:$G,Pagos!$B:$B,A224))</f>
        <v/>
      </c>
      <c r="J224" s="17">
        <f>IF(B224="","",IF(COUNTIF(Pagos!$B:$B,A224)=0,"",_xlfn.MAXIFS(Pagos!$D:$D,Pagos!$B:$B,A224)))</f>
        <v/>
      </c>
      <c r="K224" s="11">
        <f>IF(B224="","",IF(J224="",TODAY()-C224,TODAY()-J224))</f>
        <v/>
      </c>
      <c r="L224" s="11">
        <f>IF(B224="","",IF(F224="Diario",1,IF(F224="Semanal",7,IF(F224="Quincenal",15,IF(F224="Mensual",30,30))))+Resumen!$B$2)</f>
        <v/>
      </c>
      <c r="M224" s="11">
        <f>IF(B224="","",IF(G224&lt;=0,"Pagado",IF(K224&gt;L224,"Atrasado","Al dia")))</f>
        <v/>
      </c>
    </row>
    <row r="225">
      <c r="A225" s="11">
        <f>IF(B225="","","P"&amp;TEXT(ROW()-1,"000"))</f>
        <v/>
      </c>
      <c r="B225" s="12" t="n"/>
      <c r="C225" s="13" t="n"/>
      <c r="D225" s="14" t="n"/>
      <c r="E225" s="15" t="n"/>
      <c r="F225" s="12" t="n"/>
      <c r="G225" s="16">
        <f>IF(B225="","",D225-SUMIFS(Pagos!$H:$H,Pagos!$B:$B,A225))</f>
        <v/>
      </c>
      <c r="H225" s="16">
        <f>IF(B225="","",SUMIFS(Pagos!$E:$E,Pagos!$B:$B,A225))</f>
        <v/>
      </c>
      <c r="I225" s="16">
        <f>IF(B225="","",SUMIFS(Pagos!$G:$G,Pagos!$B:$B,A225))</f>
        <v/>
      </c>
      <c r="J225" s="17">
        <f>IF(B225="","",IF(COUNTIF(Pagos!$B:$B,A225)=0,"",_xlfn.MAXIFS(Pagos!$D:$D,Pagos!$B:$B,A225)))</f>
        <v/>
      </c>
      <c r="K225" s="11">
        <f>IF(B225="","",IF(J225="",TODAY()-C225,TODAY()-J225))</f>
        <v/>
      </c>
      <c r="L225" s="11">
        <f>IF(B225="","",IF(F225="Diario",1,IF(F225="Semanal",7,IF(F225="Quincenal",15,IF(F225="Mensual",30,30))))+Resumen!$B$2)</f>
        <v/>
      </c>
      <c r="M225" s="11">
        <f>IF(B225="","",IF(G225&lt;=0,"Pagado",IF(K225&gt;L225,"Atrasado","Al dia")))</f>
        <v/>
      </c>
    </row>
    <row r="226">
      <c r="A226" s="11">
        <f>IF(B226="","","P"&amp;TEXT(ROW()-1,"000"))</f>
        <v/>
      </c>
      <c r="B226" s="12" t="n"/>
      <c r="C226" s="13" t="n"/>
      <c r="D226" s="14" t="n"/>
      <c r="E226" s="15" t="n"/>
      <c r="F226" s="12" t="n"/>
      <c r="G226" s="16">
        <f>IF(B226="","",D226-SUMIFS(Pagos!$H:$H,Pagos!$B:$B,A226))</f>
        <v/>
      </c>
      <c r="H226" s="16">
        <f>IF(B226="","",SUMIFS(Pagos!$E:$E,Pagos!$B:$B,A226))</f>
        <v/>
      </c>
      <c r="I226" s="16">
        <f>IF(B226="","",SUMIFS(Pagos!$G:$G,Pagos!$B:$B,A226))</f>
        <v/>
      </c>
      <c r="J226" s="17">
        <f>IF(B226="","",IF(COUNTIF(Pagos!$B:$B,A226)=0,"",_xlfn.MAXIFS(Pagos!$D:$D,Pagos!$B:$B,A226)))</f>
        <v/>
      </c>
      <c r="K226" s="11">
        <f>IF(B226="","",IF(J226="",TODAY()-C226,TODAY()-J226))</f>
        <v/>
      </c>
      <c r="L226" s="11">
        <f>IF(B226="","",IF(F226="Diario",1,IF(F226="Semanal",7,IF(F226="Quincenal",15,IF(F226="Mensual",30,30))))+Resumen!$B$2)</f>
        <v/>
      </c>
      <c r="M226" s="11">
        <f>IF(B226="","",IF(G226&lt;=0,"Pagado",IF(K226&gt;L226,"Atrasado","Al dia")))</f>
        <v/>
      </c>
    </row>
    <row r="227">
      <c r="A227" s="11">
        <f>IF(B227="","","P"&amp;TEXT(ROW()-1,"000"))</f>
        <v/>
      </c>
      <c r="B227" s="12" t="n"/>
      <c r="C227" s="13" t="n"/>
      <c r="D227" s="14" t="n"/>
      <c r="E227" s="15" t="n"/>
      <c r="F227" s="12" t="n"/>
      <c r="G227" s="16">
        <f>IF(B227="","",D227-SUMIFS(Pagos!$H:$H,Pagos!$B:$B,A227))</f>
        <v/>
      </c>
      <c r="H227" s="16">
        <f>IF(B227="","",SUMIFS(Pagos!$E:$E,Pagos!$B:$B,A227))</f>
        <v/>
      </c>
      <c r="I227" s="16">
        <f>IF(B227="","",SUMIFS(Pagos!$G:$G,Pagos!$B:$B,A227))</f>
        <v/>
      </c>
      <c r="J227" s="17">
        <f>IF(B227="","",IF(COUNTIF(Pagos!$B:$B,A227)=0,"",_xlfn.MAXIFS(Pagos!$D:$D,Pagos!$B:$B,A227)))</f>
        <v/>
      </c>
      <c r="K227" s="11">
        <f>IF(B227="","",IF(J227="",TODAY()-C227,TODAY()-J227))</f>
        <v/>
      </c>
      <c r="L227" s="11">
        <f>IF(B227="","",IF(F227="Diario",1,IF(F227="Semanal",7,IF(F227="Quincenal",15,IF(F227="Mensual",30,30))))+Resumen!$B$2)</f>
        <v/>
      </c>
      <c r="M227" s="11">
        <f>IF(B227="","",IF(G227&lt;=0,"Pagado",IF(K227&gt;L227,"Atrasado","Al dia")))</f>
        <v/>
      </c>
    </row>
    <row r="228">
      <c r="A228" s="11">
        <f>IF(B228="","","P"&amp;TEXT(ROW()-1,"000"))</f>
        <v/>
      </c>
      <c r="B228" s="12" t="n"/>
      <c r="C228" s="13" t="n"/>
      <c r="D228" s="14" t="n"/>
      <c r="E228" s="15" t="n"/>
      <c r="F228" s="12" t="n"/>
      <c r="G228" s="16">
        <f>IF(B228="","",D228-SUMIFS(Pagos!$H:$H,Pagos!$B:$B,A228))</f>
        <v/>
      </c>
      <c r="H228" s="16">
        <f>IF(B228="","",SUMIFS(Pagos!$E:$E,Pagos!$B:$B,A228))</f>
        <v/>
      </c>
      <c r="I228" s="16">
        <f>IF(B228="","",SUMIFS(Pagos!$G:$G,Pagos!$B:$B,A228))</f>
        <v/>
      </c>
      <c r="J228" s="17">
        <f>IF(B228="","",IF(COUNTIF(Pagos!$B:$B,A228)=0,"",_xlfn.MAXIFS(Pagos!$D:$D,Pagos!$B:$B,A228)))</f>
        <v/>
      </c>
      <c r="K228" s="11">
        <f>IF(B228="","",IF(J228="",TODAY()-C228,TODAY()-J228))</f>
        <v/>
      </c>
      <c r="L228" s="11">
        <f>IF(B228="","",IF(F228="Diario",1,IF(F228="Semanal",7,IF(F228="Quincenal",15,IF(F228="Mensual",30,30))))+Resumen!$B$2)</f>
        <v/>
      </c>
      <c r="M228" s="11">
        <f>IF(B228="","",IF(G228&lt;=0,"Pagado",IF(K228&gt;L228,"Atrasado","Al dia")))</f>
        <v/>
      </c>
    </row>
    <row r="229">
      <c r="A229" s="11">
        <f>IF(B229="","","P"&amp;TEXT(ROW()-1,"000"))</f>
        <v/>
      </c>
      <c r="B229" s="12" t="n"/>
      <c r="C229" s="13" t="n"/>
      <c r="D229" s="14" t="n"/>
      <c r="E229" s="15" t="n"/>
      <c r="F229" s="12" t="n"/>
      <c r="G229" s="16">
        <f>IF(B229="","",D229-SUMIFS(Pagos!$H:$H,Pagos!$B:$B,A229))</f>
        <v/>
      </c>
      <c r="H229" s="16">
        <f>IF(B229="","",SUMIFS(Pagos!$E:$E,Pagos!$B:$B,A229))</f>
        <v/>
      </c>
      <c r="I229" s="16">
        <f>IF(B229="","",SUMIFS(Pagos!$G:$G,Pagos!$B:$B,A229))</f>
        <v/>
      </c>
      <c r="J229" s="17">
        <f>IF(B229="","",IF(COUNTIF(Pagos!$B:$B,A229)=0,"",_xlfn.MAXIFS(Pagos!$D:$D,Pagos!$B:$B,A229)))</f>
        <v/>
      </c>
      <c r="K229" s="11">
        <f>IF(B229="","",IF(J229="",TODAY()-C229,TODAY()-J229))</f>
        <v/>
      </c>
      <c r="L229" s="11">
        <f>IF(B229="","",IF(F229="Diario",1,IF(F229="Semanal",7,IF(F229="Quincenal",15,IF(F229="Mensual",30,30))))+Resumen!$B$2)</f>
        <v/>
      </c>
      <c r="M229" s="11">
        <f>IF(B229="","",IF(G229&lt;=0,"Pagado",IF(K229&gt;L229,"Atrasado","Al dia")))</f>
        <v/>
      </c>
    </row>
    <row r="230">
      <c r="A230" s="11">
        <f>IF(B230="","","P"&amp;TEXT(ROW()-1,"000"))</f>
        <v/>
      </c>
      <c r="B230" s="12" t="n"/>
      <c r="C230" s="13" t="n"/>
      <c r="D230" s="14" t="n"/>
      <c r="E230" s="15" t="n"/>
      <c r="F230" s="12" t="n"/>
      <c r="G230" s="16">
        <f>IF(B230="","",D230-SUMIFS(Pagos!$H:$H,Pagos!$B:$B,A230))</f>
        <v/>
      </c>
      <c r="H230" s="16">
        <f>IF(B230="","",SUMIFS(Pagos!$E:$E,Pagos!$B:$B,A230))</f>
        <v/>
      </c>
      <c r="I230" s="16">
        <f>IF(B230="","",SUMIFS(Pagos!$G:$G,Pagos!$B:$B,A230))</f>
        <v/>
      </c>
      <c r="J230" s="17">
        <f>IF(B230="","",IF(COUNTIF(Pagos!$B:$B,A230)=0,"",_xlfn.MAXIFS(Pagos!$D:$D,Pagos!$B:$B,A230)))</f>
        <v/>
      </c>
      <c r="K230" s="11">
        <f>IF(B230="","",IF(J230="",TODAY()-C230,TODAY()-J230))</f>
        <v/>
      </c>
      <c r="L230" s="11">
        <f>IF(B230="","",IF(F230="Diario",1,IF(F230="Semanal",7,IF(F230="Quincenal",15,IF(F230="Mensual",30,30))))+Resumen!$B$2)</f>
        <v/>
      </c>
      <c r="M230" s="11">
        <f>IF(B230="","",IF(G230&lt;=0,"Pagado",IF(K230&gt;L230,"Atrasado","Al dia")))</f>
        <v/>
      </c>
    </row>
    <row r="231">
      <c r="A231" s="11">
        <f>IF(B231="","","P"&amp;TEXT(ROW()-1,"000"))</f>
        <v/>
      </c>
      <c r="B231" s="12" t="n"/>
      <c r="C231" s="13" t="n"/>
      <c r="D231" s="14" t="n"/>
      <c r="E231" s="15" t="n"/>
      <c r="F231" s="12" t="n"/>
      <c r="G231" s="16">
        <f>IF(B231="","",D231-SUMIFS(Pagos!$H:$H,Pagos!$B:$B,A231))</f>
        <v/>
      </c>
      <c r="H231" s="16">
        <f>IF(B231="","",SUMIFS(Pagos!$E:$E,Pagos!$B:$B,A231))</f>
        <v/>
      </c>
      <c r="I231" s="16">
        <f>IF(B231="","",SUMIFS(Pagos!$G:$G,Pagos!$B:$B,A231))</f>
        <v/>
      </c>
      <c r="J231" s="17">
        <f>IF(B231="","",IF(COUNTIF(Pagos!$B:$B,A231)=0,"",_xlfn.MAXIFS(Pagos!$D:$D,Pagos!$B:$B,A231)))</f>
        <v/>
      </c>
      <c r="K231" s="11">
        <f>IF(B231="","",IF(J231="",TODAY()-C231,TODAY()-J231))</f>
        <v/>
      </c>
      <c r="L231" s="11">
        <f>IF(B231="","",IF(F231="Diario",1,IF(F231="Semanal",7,IF(F231="Quincenal",15,IF(F231="Mensual",30,30))))+Resumen!$B$2)</f>
        <v/>
      </c>
      <c r="M231" s="11">
        <f>IF(B231="","",IF(G231&lt;=0,"Pagado",IF(K231&gt;L231,"Atrasado","Al dia")))</f>
        <v/>
      </c>
    </row>
    <row r="232">
      <c r="A232" s="11">
        <f>IF(B232="","","P"&amp;TEXT(ROW()-1,"000"))</f>
        <v/>
      </c>
      <c r="B232" s="12" t="n"/>
      <c r="C232" s="13" t="n"/>
      <c r="D232" s="14" t="n"/>
      <c r="E232" s="15" t="n"/>
      <c r="F232" s="12" t="n"/>
      <c r="G232" s="16">
        <f>IF(B232="","",D232-SUMIFS(Pagos!$H:$H,Pagos!$B:$B,A232))</f>
        <v/>
      </c>
      <c r="H232" s="16">
        <f>IF(B232="","",SUMIFS(Pagos!$E:$E,Pagos!$B:$B,A232))</f>
        <v/>
      </c>
      <c r="I232" s="16">
        <f>IF(B232="","",SUMIFS(Pagos!$G:$G,Pagos!$B:$B,A232))</f>
        <v/>
      </c>
      <c r="J232" s="17">
        <f>IF(B232="","",IF(COUNTIF(Pagos!$B:$B,A232)=0,"",_xlfn.MAXIFS(Pagos!$D:$D,Pagos!$B:$B,A232)))</f>
        <v/>
      </c>
      <c r="K232" s="11">
        <f>IF(B232="","",IF(J232="",TODAY()-C232,TODAY()-J232))</f>
        <v/>
      </c>
      <c r="L232" s="11">
        <f>IF(B232="","",IF(F232="Diario",1,IF(F232="Semanal",7,IF(F232="Quincenal",15,IF(F232="Mensual",30,30))))+Resumen!$B$2)</f>
        <v/>
      </c>
      <c r="M232" s="11">
        <f>IF(B232="","",IF(G232&lt;=0,"Pagado",IF(K232&gt;L232,"Atrasado","Al dia")))</f>
        <v/>
      </c>
    </row>
    <row r="233">
      <c r="A233" s="11">
        <f>IF(B233="","","P"&amp;TEXT(ROW()-1,"000"))</f>
        <v/>
      </c>
      <c r="B233" s="12" t="n"/>
      <c r="C233" s="13" t="n"/>
      <c r="D233" s="14" t="n"/>
      <c r="E233" s="15" t="n"/>
      <c r="F233" s="12" t="n"/>
      <c r="G233" s="16">
        <f>IF(B233="","",D233-SUMIFS(Pagos!$H:$H,Pagos!$B:$B,A233))</f>
        <v/>
      </c>
      <c r="H233" s="16">
        <f>IF(B233="","",SUMIFS(Pagos!$E:$E,Pagos!$B:$B,A233))</f>
        <v/>
      </c>
      <c r="I233" s="16">
        <f>IF(B233="","",SUMIFS(Pagos!$G:$G,Pagos!$B:$B,A233))</f>
        <v/>
      </c>
      <c r="J233" s="17">
        <f>IF(B233="","",IF(COUNTIF(Pagos!$B:$B,A233)=0,"",_xlfn.MAXIFS(Pagos!$D:$D,Pagos!$B:$B,A233)))</f>
        <v/>
      </c>
      <c r="K233" s="11">
        <f>IF(B233="","",IF(J233="",TODAY()-C233,TODAY()-J233))</f>
        <v/>
      </c>
      <c r="L233" s="11">
        <f>IF(B233="","",IF(F233="Diario",1,IF(F233="Semanal",7,IF(F233="Quincenal",15,IF(F233="Mensual",30,30))))+Resumen!$B$2)</f>
        <v/>
      </c>
      <c r="M233" s="11">
        <f>IF(B233="","",IF(G233&lt;=0,"Pagado",IF(K233&gt;L233,"Atrasado","Al dia")))</f>
        <v/>
      </c>
    </row>
    <row r="234">
      <c r="A234" s="11">
        <f>IF(B234="","","P"&amp;TEXT(ROW()-1,"000"))</f>
        <v/>
      </c>
      <c r="B234" s="12" t="n"/>
      <c r="C234" s="13" t="n"/>
      <c r="D234" s="14" t="n"/>
      <c r="E234" s="15" t="n"/>
      <c r="F234" s="12" t="n"/>
      <c r="G234" s="16">
        <f>IF(B234="","",D234-SUMIFS(Pagos!$H:$H,Pagos!$B:$B,A234))</f>
        <v/>
      </c>
      <c r="H234" s="16">
        <f>IF(B234="","",SUMIFS(Pagos!$E:$E,Pagos!$B:$B,A234))</f>
        <v/>
      </c>
      <c r="I234" s="16">
        <f>IF(B234="","",SUMIFS(Pagos!$G:$G,Pagos!$B:$B,A234))</f>
        <v/>
      </c>
      <c r="J234" s="17">
        <f>IF(B234="","",IF(COUNTIF(Pagos!$B:$B,A234)=0,"",_xlfn.MAXIFS(Pagos!$D:$D,Pagos!$B:$B,A234)))</f>
        <v/>
      </c>
      <c r="K234" s="11">
        <f>IF(B234="","",IF(J234="",TODAY()-C234,TODAY()-J234))</f>
        <v/>
      </c>
      <c r="L234" s="11">
        <f>IF(B234="","",IF(F234="Diario",1,IF(F234="Semanal",7,IF(F234="Quincenal",15,IF(F234="Mensual",30,30))))+Resumen!$B$2)</f>
        <v/>
      </c>
      <c r="M234" s="11">
        <f>IF(B234="","",IF(G234&lt;=0,"Pagado",IF(K234&gt;L234,"Atrasado","Al dia")))</f>
        <v/>
      </c>
    </row>
    <row r="235">
      <c r="A235" s="11">
        <f>IF(B235="","","P"&amp;TEXT(ROW()-1,"000"))</f>
        <v/>
      </c>
      <c r="B235" s="12" t="n"/>
      <c r="C235" s="13" t="n"/>
      <c r="D235" s="14" t="n"/>
      <c r="E235" s="15" t="n"/>
      <c r="F235" s="12" t="n"/>
      <c r="G235" s="16">
        <f>IF(B235="","",D235-SUMIFS(Pagos!$H:$H,Pagos!$B:$B,A235))</f>
        <v/>
      </c>
      <c r="H235" s="16">
        <f>IF(B235="","",SUMIFS(Pagos!$E:$E,Pagos!$B:$B,A235))</f>
        <v/>
      </c>
      <c r="I235" s="16">
        <f>IF(B235="","",SUMIFS(Pagos!$G:$G,Pagos!$B:$B,A235))</f>
        <v/>
      </c>
      <c r="J235" s="17">
        <f>IF(B235="","",IF(COUNTIF(Pagos!$B:$B,A235)=0,"",_xlfn.MAXIFS(Pagos!$D:$D,Pagos!$B:$B,A235)))</f>
        <v/>
      </c>
      <c r="K235" s="11">
        <f>IF(B235="","",IF(J235="",TODAY()-C235,TODAY()-J235))</f>
        <v/>
      </c>
      <c r="L235" s="11">
        <f>IF(B235="","",IF(F235="Diario",1,IF(F235="Semanal",7,IF(F235="Quincenal",15,IF(F235="Mensual",30,30))))+Resumen!$B$2)</f>
        <v/>
      </c>
      <c r="M235" s="11">
        <f>IF(B235="","",IF(G235&lt;=0,"Pagado",IF(K235&gt;L235,"Atrasado","Al dia")))</f>
        <v/>
      </c>
    </row>
    <row r="236">
      <c r="A236" s="11">
        <f>IF(B236="","","P"&amp;TEXT(ROW()-1,"000"))</f>
        <v/>
      </c>
      <c r="B236" s="12" t="n"/>
      <c r="C236" s="13" t="n"/>
      <c r="D236" s="14" t="n"/>
      <c r="E236" s="15" t="n"/>
      <c r="F236" s="12" t="n"/>
      <c r="G236" s="16">
        <f>IF(B236="","",D236-SUMIFS(Pagos!$H:$H,Pagos!$B:$B,A236))</f>
        <v/>
      </c>
      <c r="H236" s="16">
        <f>IF(B236="","",SUMIFS(Pagos!$E:$E,Pagos!$B:$B,A236))</f>
        <v/>
      </c>
      <c r="I236" s="16">
        <f>IF(B236="","",SUMIFS(Pagos!$G:$G,Pagos!$B:$B,A236))</f>
        <v/>
      </c>
      <c r="J236" s="17">
        <f>IF(B236="","",IF(COUNTIF(Pagos!$B:$B,A236)=0,"",_xlfn.MAXIFS(Pagos!$D:$D,Pagos!$B:$B,A236)))</f>
        <v/>
      </c>
      <c r="K236" s="11">
        <f>IF(B236="","",IF(J236="",TODAY()-C236,TODAY()-J236))</f>
        <v/>
      </c>
      <c r="L236" s="11">
        <f>IF(B236="","",IF(F236="Diario",1,IF(F236="Semanal",7,IF(F236="Quincenal",15,IF(F236="Mensual",30,30))))+Resumen!$B$2)</f>
        <v/>
      </c>
      <c r="M236" s="11">
        <f>IF(B236="","",IF(G236&lt;=0,"Pagado",IF(K236&gt;L236,"Atrasado","Al dia")))</f>
        <v/>
      </c>
    </row>
    <row r="237">
      <c r="A237" s="11">
        <f>IF(B237="","","P"&amp;TEXT(ROW()-1,"000"))</f>
        <v/>
      </c>
      <c r="B237" s="12" t="n"/>
      <c r="C237" s="13" t="n"/>
      <c r="D237" s="14" t="n"/>
      <c r="E237" s="15" t="n"/>
      <c r="F237" s="12" t="n"/>
      <c r="G237" s="16">
        <f>IF(B237="","",D237-SUMIFS(Pagos!$H:$H,Pagos!$B:$B,A237))</f>
        <v/>
      </c>
      <c r="H237" s="16">
        <f>IF(B237="","",SUMIFS(Pagos!$E:$E,Pagos!$B:$B,A237))</f>
        <v/>
      </c>
      <c r="I237" s="16">
        <f>IF(B237="","",SUMIFS(Pagos!$G:$G,Pagos!$B:$B,A237))</f>
        <v/>
      </c>
      <c r="J237" s="17">
        <f>IF(B237="","",IF(COUNTIF(Pagos!$B:$B,A237)=0,"",_xlfn.MAXIFS(Pagos!$D:$D,Pagos!$B:$B,A237)))</f>
        <v/>
      </c>
      <c r="K237" s="11">
        <f>IF(B237="","",IF(J237="",TODAY()-C237,TODAY()-J237))</f>
        <v/>
      </c>
      <c r="L237" s="11">
        <f>IF(B237="","",IF(F237="Diario",1,IF(F237="Semanal",7,IF(F237="Quincenal",15,IF(F237="Mensual",30,30))))+Resumen!$B$2)</f>
        <v/>
      </c>
      <c r="M237" s="11">
        <f>IF(B237="","",IF(G237&lt;=0,"Pagado",IF(K237&gt;L237,"Atrasado","Al dia")))</f>
        <v/>
      </c>
    </row>
    <row r="238">
      <c r="A238" s="11">
        <f>IF(B238="","","P"&amp;TEXT(ROW()-1,"000"))</f>
        <v/>
      </c>
      <c r="B238" s="12" t="n"/>
      <c r="C238" s="13" t="n"/>
      <c r="D238" s="14" t="n"/>
      <c r="E238" s="15" t="n"/>
      <c r="F238" s="12" t="n"/>
      <c r="G238" s="16">
        <f>IF(B238="","",D238-SUMIFS(Pagos!$H:$H,Pagos!$B:$B,A238))</f>
        <v/>
      </c>
      <c r="H238" s="16">
        <f>IF(B238="","",SUMIFS(Pagos!$E:$E,Pagos!$B:$B,A238))</f>
        <v/>
      </c>
      <c r="I238" s="16">
        <f>IF(B238="","",SUMIFS(Pagos!$G:$G,Pagos!$B:$B,A238))</f>
        <v/>
      </c>
      <c r="J238" s="17">
        <f>IF(B238="","",IF(COUNTIF(Pagos!$B:$B,A238)=0,"",_xlfn.MAXIFS(Pagos!$D:$D,Pagos!$B:$B,A238)))</f>
        <v/>
      </c>
      <c r="K238" s="11">
        <f>IF(B238="","",IF(J238="",TODAY()-C238,TODAY()-J238))</f>
        <v/>
      </c>
      <c r="L238" s="11">
        <f>IF(B238="","",IF(F238="Diario",1,IF(F238="Semanal",7,IF(F238="Quincenal",15,IF(F238="Mensual",30,30))))+Resumen!$B$2)</f>
        <v/>
      </c>
      <c r="M238" s="11">
        <f>IF(B238="","",IF(G238&lt;=0,"Pagado",IF(K238&gt;L238,"Atrasado","Al dia")))</f>
        <v/>
      </c>
    </row>
    <row r="239">
      <c r="A239" s="11">
        <f>IF(B239="","","P"&amp;TEXT(ROW()-1,"000"))</f>
        <v/>
      </c>
      <c r="B239" s="12" t="n"/>
      <c r="C239" s="13" t="n"/>
      <c r="D239" s="14" t="n"/>
      <c r="E239" s="15" t="n"/>
      <c r="F239" s="12" t="n"/>
      <c r="G239" s="16">
        <f>IF(B239="","",D239-SUMIFS(Pagos!$H:$H,Pagos!$B:$B,A239))</f>
        <v/>
      </c>
      <c r="H239" s="16">
        <f>IF(B239="","",SUMIFS(Pagos!$E:$E,Pagos!$B:$B,A239))</f>
        <v/>
      </c>
      <c r="I239" s="16">
        <f>IF(B239="","",SUMIFS(Pagos!$G:$G,Pagos!$B:$B,A239))</f>
        <v/>
      </c>
      <c r="J239" s="17">
        <f>IF(B239="","",IF(COUNTIF(Pagos!$B:$B,A239)=0,"",_xlfn.MAXIFS(Pagos!$D:$D,Pagos!$B:$B,A239)))</f>
        <v/>
      </c>
      <c r="K239" s="11">
        <f>IF(B239="","",IF(J239="",TODAY()-C239,TODAY()-J239))</f>
        <v/>
      </c>
      <c r="L239" s="11">
        <f>IF(B239="","",IF(F239="Diario",1,IF(F239="Semanal",7,IF(F239="Quincenal",15,IF(F239="Mensual",30,30))))+Resumen!$B$2)</f>
        <v/>
      </c>
      <c r="M239" s="11">
        <f>IF(B239="","",IF(G239&lt;=0,"Pagado",IF(K239&gt;L239,"Atrasado","Al dia")))</f>
        <v/>
      </c>
    </row>
    <row r="240">
      <c r="A240" s="11">
        <f>IF(B240="","","P"&amp;TEXT(ROW()-1,"000"))</f>
        <v/>
      </c>
      <c r="B240" s="12" t="n"/>
      <c r="C240" s="13" t="n"/>
      <c r="D240" s="14" t="n"/>
      <c r="E240" s="15" t="n"/>
      <c r="F240" s="12" t="n"/>
      <c r="G240" s="16">
        <f>IF(B240="","",D240-SUMIFS(Pagos!$H:$H,Pagos!$B:$B,A240))</f>
        <v/>
      </c>
      <c r="H240" s="16">
        <f>IF(B240="","",SUMIFS(Pagos!$E:$E,Pagos!$B:$B,A240))</f>
        <v/>
      </c>
      <c r="I240" s="16">
        <f>IF(B240="","",SUMIFS(Pagos!$G:$G,Pagos!$B:$B,A240))</f>
        <v/>
      </c>
      <c r="J240" s="17">
        <f>IF(B240="","",IF(COUNTIF(Pagos!$B:$B,A240)=0,"",_xlfn.MAXIFS(Pagos!$D:$D,Pagos!$B:$B,A240)))</f>
        <v/>
      </c>
      <c r="K240" s="11">
        <f>IF(B240="","",IF(J240="",TODAY()-C240,TODAY()-J240))</f>
        <v/>
      </c>
      <c r="L240" s="11">
        <f>IF(B240="","",IF(F240="Diario",1,IF(F240="Semanal",7,IF(F240="Quincenal",15,IF(F240="Mensual",30,30))))+Resumen!$B$2)</f>
        <v/>
      </c>
      <c r="M240" s="11">
        <f>IF(B240="","",IF(G240&lt;=0,"Pagado",IF(K240&gt;L240,"Atrasado","Al dia")))</f>
        <v/>
      </c>
    </row>
    <row r="241">
      <c r="A241" s="11">
        <f>IF(B241="","","P"&amp;TEXT(ROW()-1,"000"))</f>
        <v/>
      </c>
      <c r="B241" s="12" t="n"/>
      <c r="C241" s="13" t="n"/>
      <c r="D241" s="14" t="n"/>
      <c r="E241" s="15" t="n"/>
      <c r="F241" s="12" t="n"/>
      <c r="G241" s="16">
        <f>IF(B241="","",D241-SUMIFS(Pagos!$H:$H,Pagos!$B:$B,A241))</f>
        <v/>
      </c>
      <c r="H241" s="16">
        <f>IF(B241="","",SUMIFS(Pagos!$E:$E,Pagos!$B:$B,A241))</f>
        <v/>
      </c>
      <c r="I241" s="16">
        <f>IF(B241="","",SUMIFS(Pagos!$G:$G,Pagos!$B:$B,A241))</f>
        <v/>
      </c>
      <c r="J241" s="17">
        <f>IF(B241="","",IF(COUNTIF(Pagos!$B:$B,A241)=0,"",_xlfn.MAXIFS(Pagos!$D:$D,Pagos!$B:$B,A241)))</f>
        <v/>
      </c>
      <c r="K241" s="11">
        <f>IF(B241="","",IF(J241="",TODAY()-C241,TODAY()-J241))</f>
        <v/>
      </c>
      <c r="L241" s="11">
        <f>IF(B241="","",IF(F241="Diario",1,IF(F241="Semanal",7,IF(F241="Quincenal",15,IF(F241="Mensual",30,30))))+Resumen!$B$2)</f>
        <v/>
      </c>
      <c r="M241" s="11">
        <f>IF(B241="","",IF(G241&lt;=0,"Pagado",IF(K241&gt;L241,"Atrasado","Al dia")))</f>
        <v/>
      </c>
    </row>
    <row r="242">
      <c r="A242" s="11">
        <f>IF(B242="","","P"&amp;TEXT(ROW()-1,"000"))</f>
        <v/>
      </c>
      <c r="B242" s="12" t="n"/>
      <c r="C242" s="13" t="n"/>
      <c r="D242" s="14" t="n"/>
      <c r="E242" s="15" t="n"/>
      <c r="F242" s="12" t="n"/>
      <c r="G242" s="16">
        <f>IF(B242="","",D242-SUMIFS(Pagos!$H:$H,Pagos!$B:$B,A242))</f>
        <v/>
      </c>
      <c r="H242" s="16">
        <f>IF(B242="","",SUMIFS(Pagos!$E:$E,Pagos!$B:$B,A242))</f>
        <v/>
      </c>
      <c r="I242" s="16">
        <f>IF(B242="","",SUMIFS(Pagos!$G:$G,Pagos!$B:$B,A242))</f>
        <v/>
      </c>
      <c r="J242" s="17">
        <f>IF(B242="","",IF(COUNTIF(Pagos!$B:$B,A242)=0,"",_xlfn.MAXIFS(Pagos!$D:$D,Pagos!$B:$B,A242)))</f>
        <v/>
      </c>
      <c r="K242" s="11">
        <f>IF(B242="","",IF(J242="",TODAY()-C242,TODAY()-J242))</f>
        <v/>
      </c>
      <c r="L242" s="11">
        <f>IF(B242="","",IF(F242="Diario",1,IF(F242="Semanal",7,IF(F242="Quincenal",15,IF(F242="Mensual",30,30))))+Resumen!$B$2)</f>
        <v/>
      </c>
      <c r="M242" s="11">
        <f>IF(B242="","",IF(G242&lt;=0,"Pagado",IF(K242&gt;L242,"Atrasado","Al dia")))</f>
        <v/>
      </c>
    </row>
    <row r="243">
      <c r="A243" s="11">
        <f>IF(B243="","","P"&amp;TEXT(ROW()-1,"000"))</f>
        <v/>
      </c>
      <c r="B243" s="12" t="n"/>
      <c r="C243" s="13" t="n"/>
      <c r="D243" s="14" t="n"/>
      <c r="E243" s="15" t="n"/>
      <c r="F243" s="12" t="n"/>
      <c r="G243" s="16">
        <f>IF(B243="","",D243-SUMIFS(Pagos!$H:$H,Pagos!$B:$B,A243))</f>
        <v/>
      </c>
      <c r="H243" s="16">
        <f>IF(B243="","",SUMIFS(Pagos!$E:$E,Pagos!$B:$B,A243))</f>
        <v/>
      </c>
      <c r="I243" s="16">
        <f>IF(B243="","",SUMIFS(Pagos!$G:$G,Pagos!$B:$B,A243))</f>
        <v/>
      </c>
      <c r="J243" s="17">
        <f>IF(B243="","",IF(COUNTIF(Pagos!$B:$B,A243)=0,"",_xlfn.MAXIFS(Pagos!$D:$D,Pagos!$B:$B,A243)))</f>
        <v/>
      </c>
      <c r="K243" s="11">
        <f>IF(B243="","",IF(J243="",TODAY()-C243,TODAY()-J243))</f>
        <v/>
      </c>
      <c r="L243" s="11">
        <f>IF(B243="","",IF(F243="Diario",1,IF(F243="Semanal",7,IF(F243="Quincenal",15,IF(F243="Mensual",30,30))))+Resumen!$B$2)</f>
        <v/>
      </c>
      <c r="M243" s="11">
        <f>IF(B243="","",IF(G243&lt;=0,"Pagado",IF(K243&gt;L243,"Atrasado","Al dia")))</f>
        <v/>
      </c>
    </row>
    <row r="244">
      <c r="A244" s="11">
        <f>IF(B244="","","P"&amp;TEXT(ROW()-1,"000"))</f>
        <v/>
      </c>
      <c r="B244" s="12" t="n"/>
      <c r="C244" s="13" t="n"/>
      <c r="D244" s="14" t="n"/>
      <c r="E244" s="15" t="n"/>
      <c r="F244" s="12" t="n"/>
      <c r="G244" s="16">
        <f>IF(B244="","",D244-SUMIFS(Pagos!$H:$H,Pagos!$B:$B,A244))</f>
        <v/>
      </c>
      <c r="H244" s="16">
        <f>IF(B244="","",SUMIFS(Pagos!$E:$E,Pagos!$B:$B,A244))</f>
        <v/>
      </c>
      <c r="I244" s="16">
        <f>IF(B244="","",SUMIFS(Pagos!$G:$G,Pagos!$B:$B,A244))</f>
        <v/>
      </c>
      <c r="J244" s="17">
        <f>IF(B244="","",IF(COUNTIF(Pagos!$B:$B,A244)=0,"",_xlfn.MAXIFS(Pagos!$D:$D,Pagos!$B:$B,A244)))</f>
        <v/>
      </c>
      <c r="K244" s="11">
        <f>IF(B244="","",IF(J244="",TODAY()-C244,TODAY()-J244))</f>
        <v/>
      </c>
      <c r="L244" s="11">
        <f>IF(B244="","",IF(F244="Diario",1,IF(F244="Semanal",7,IF(F244="Quincenal",15,IF(F244="Mensual",30,30))))+Resumen!$B$2)</f>
        <v/>
      </c>
      <c r="M244" s="11">
        <f>IF(B244="","",IF(G244&lt;=0,"Pagado",IF(K244&gt;L244,"Atrasado","Al dia")))</f>
        <v/>
      </c>
    </row>
    <row r="245">
      <c r="A245" s="11">
        <f>IF(B245="","","P"&amp;TEXT(ROW()-1,"000"))</f>
        <v/>
      </c>
      <c r="B245" s="12" t="n"/>
      <c r="C245" s="13" t="n"/>
      <c r="D245" s="14" t="n"/>
      <c r="E245" s="15" t="n"/>
      <c r="F245" s="12" t="n"/>
      <c r="G245" s="16">
        <f>IF(B245="","",D245-SUMIFS(Pagos!$H:$H,Pagos!$B:$B,A245))</f>
        <v/>
      </c>
      <c r="H245" s="16">
        <f>IF(B245="","",SUMIFS(Pagos!$E:$E,Pagos!$B:$B,A245))</f>
        <v/>
      </c>
      <c r="I245" s="16">
        <f>IF(B245="","",SUMIFS(Pagos!$G:$G,Pagos!$B:$B,A245))</f>
        <v/>
      </c>
      <c r="J245" s="17">
        <f>IF(B245="","",IF(COUNTIF(Pagos!$B:$B,A245)=0,"",_xlfn.MAXIFS(Pagos!$D:$D,Pagos!$B:$B,A245)))</f>
        <v/>
      </c>
      <c r="K245" s="11">
        <f>IF(B245="","",IF(J245="",TODAY()-C245,TODAY()-J245))</f>
        <v/>
      </c>
      <c r="L245" s="11">
        <f>IF(B245="","",IF(F245="Diario",1,IF(F245="Semanal",7,IF(F245="Quincenal",15,IF(F245="Mensual",30,30))))+Resumen!$B$2)</f>
        <v/>
      </c>
      <c r="M245" s="11">
        <f>IF(B245="","",IF(G245&lt;=0,"Pagado",IF(K245&gt;L245,"Atrasado","Al dia")))</f>
        <v/>
      </c>
    </row>
    <row r="246">
      <c r="A246" s="11">
        <f>IF(B246="","","P"&amp;TEXT(ROW()-1,"000"))</f>
        <v/>
      </c>
      <c r="B246" s="12" t="n"/>
      <c r="C246" s="13" t="n"/>
      <c r="D246" s="14" t="n"/>
      <c r="E246" s="15" t="n"/>
      <c r="F246" s="12" t="n"/>
      <c r="G246" s="16">
        <f>IF(B246="","",D246-SUMIFS(Pagos!$H:$H,Pagos!$B:$B,A246))</f>
        <v/>
      </c>
      <c r="H246" s="16">
        <f>IF(B246="","",SUMIFS(Pagos!$E:$E,Pagos!$B:$B,A246))</f>
        <v/>
      </c>
      <c r="I246" s="16">
        <f>IF(B246="","",SUMIFS(Pagos!$G:$G,Pagos!$B:$B,A246))</f>
        <v/>
      </c>
      <c r="J246" s="17">
        <f>IF(B246="","",IF(COUNTIF(Pagos!$B:$B,A246)=0,"",_xlfn.MAXIFS(Pagos!$D:$D,Pagos!$B:$B,A246)))</f>
        <v/>
      </c>
      <c r="K246" s="11">
        <f>IF(B246="","",IF(J246="",TODAY()-C246,TODAY()-J246))</f>
        <v/>
      </c>
      <c r="L246" s="11">
        <f>IF(B246="","",IF(F246="Diario",1,IF(F246="Semanal",7,IF(F246="Quincenal",15,IF(F246="Mensual",30,30))))+Resumen!$B$2)</f>
        <v/>
      </c>
      <c r="M246" s="11">
        <f>IF(B246="","",IF(G246&lt;=0,"Pagado",IF(K246&gt;L246,"Atrasado","Al dia")))</f>
        <v/>
      </c>
    </row>
    <row r="247">
      <c r="A247" s="11">
        <f>IF(B247="","","P"&amp;TEXT(ROW()-1,"000"))</f>
        <v/>
      </c>
      <c r="B247" s="12" t="n"/>
      <c r="C247" s="13" t="n"/>
      <c r="D247" s="14" t="n"/>
      <c r="E247" s="15" t="n"/>
      <c r="F247" s="12" t="n"/>
      <c r="G247" s="16">
        <f>IF(B247="","",D247-SUMIFS(Pagos!$H:$H,Pagos!$B:$B,A247))</f>
        <v/>
      </c>
      <c r="H247" s="16">
        <f>IF(B247="","",SUMIFS(Pagos!$E:$E,Pagos!$B:$B,A247))</f>
        <v/>
      </c>
      <c r="I247" s="16">
        <f>IF(B247="","",SUMIFS(Pagos!$G:$G,Pagos!$B:$B,A247))</f>
        <v/>
      </c>
      <c r="J247" s="17">
        <f>IF(B247="","",IF(COUNTIF(Pagos!$B:$B,A247)=0,"",_xlfn.MAXIFS(Pagos!$D:$D,Pagos!$B:$B,A247)))</f>
        <v/>
      </c>
      <c r="K247" s="11">
        <f>IF(B247="","",IF(J247="",TODAY()-C247,TODAY()-J247))</f>
        <v/>
      </c>
      <c r="L247" s="11">
        <f>IF(B247="","",IF(F247="Diario",1,IF(F247="Semanal",7,IF(F247="Quincenal",15,IF(F247="Mensual",30,30))))+Resumen!$B$2)</f>
        <v/>
      </c>
      <c r="M247" s="11">
        <f>IF(B247="","",IF(G247&lt;=0,"Pagado",IF(K247&gt;L247,"Atrasado","Al dia")))</f>
        <v/>
      </c>
    </row>
    <row r="248">
      <c r="A248" s="11">
        <f>IF(B248="","","P"&amp;TEXT(ROW()-1,"000"))</f>
        <v/>
      </c>
      <c r="B248" s="12" t="n"/>
      <c r="C248" s="13" t="n"/>
      <c r="D248" s="14" t="n"/>
      <c r="E248" s="15" t="n"/>
      <c r="F248" s="12" t="n"/>
      <c r="G248" s="16">
        <f>IF(B248="","",D248-SUMIFS(Pagos!$H:$H,Pagos!$B:$B,A248))</f>
        <v/>
      </c>
      <c r="H248" s="16">
        <f>IF(B248="","",SUMIFS(Pagos!$E:$E,Pagos!$B:$B,A248))</f>
        <v/>
      </c>
      <c r="I248" s="16">
        <f>IF(B248="","",SUMIFS(Pagos!$G:$G,Pagos!$B:$B,A248))</f>
        <v/>
      </c>
      <c r="J248" s="17">
        <f>IF(B248="","",IF(COUNTIF(Pagos!$B:$B,A248)=0,"",_xlfn.MAXIFS(Pagos!$D:$D,Pagos!$B:$B,A248)))</f>
        <v/>
      </c>
      <c r="K248" s="11">
        <f>IF(B248="","",IF(J248="",TODAY()-C248,TODAY()-J248))</f>
        <v/>
      </c>
      <c r="L248" s="11">
        <f>IF(B248="","",IF(F248="Diario",1,IF(F248="Semanal",7,IF(F248="Quincenal",15,IF(F248="Mensual",30,30))))+Resumen!$B$2)</f>
        <v/>
      </c>
      <c r="M248" s="11">
        <f>IF(B248="","",IF(G248&lt;=0,"Pagado",IF(K248&gt;L248,"Atrasado","Al dia")))</f>
        <v/>
      </c>
    </row>
    <row r="249">
      <c r="A249" s="11">
        <f>IF(B249="","","P"&amp;TEXT(ROW()-1,"000"))</f>
        <v/>
      </c>
      <c r="B249" s="12" t="n"/>
      <c r="C249" s="13" t="n"/>
      <c r="D249" s="14" t="n"/>
      <c r="E249" s="15" t="n"/>
      <c r="F249" s="12" t="n"/>
      <c r="G249" s="16">
        <f>IF(B249="","",D249-SUMIFS(Pagos!$H:$H,Pagos!$B:$B,A249))</f>
        <v/>
      </c>
      <c r="H249" s="16">
        <f>IF(B249="","",SUMIFS(Pagos!$E:$E,Pagos!$B:$B,A249))</f>
        <v/>
      </c>
      <c r="I249" s="16">
        <f>IF(B249="","",SUMIFS(Pagos!$G:$G,Pagos!$B:$B,A249))</f>
        <v/>
      </c>
      <c r="J249" s="17">
        <f>IF(B249="","",IF(COUNTIF(Pagos!$B:$B,A249)=0,"",_xlfn.MAXIFS(Pagos!$D:$D,Pagos!$B:$B,A249)))</f>
        <v/>
      </c>
      <c r="K249" s="11">
        <f>IF(B249="","",IF(J249="",TODAY()-C249,TODAY()-J249))</f>
        <v/>
      </c>
      <c r="L249" s="11">
        <f>IF(B249="","",IF(F249="Diario",1,IF(F249="Semanal",7,IF(F249="Quincenal",15,IF(F249="Mensual",30,30))))+Resumen!$B$2)</f>
        <v/>
      </c>
      <c r="M249" s="11">
        <f>IF(B249="","",IF(G249&lt;=0,"Pagado",IF(K249&gt;L249,"Atrasado","Al dia")))</f>
        <v/>
      </c>
    </row>
    <row r="250">
      <c r="A250" s="11">
        <f>IF(B250="","","P"&amp;TEXT(ROW()-1,"000"))</f>
        <v/>
      </c>
      <c r="B250" s="12" t="n"/>
      <c r="C250" s="13" t="n"/>
      <c r="D250" s="14" t="n"/>
      <c r="E250" s="15" t="n"/>
      <c r="F250" s="12" t="n"/>
      <c r="G250" s="16">
        <f>IF(B250="","",D250-SUMIFS(Pagos!$H:$H,Pagos!$B:$B,A250))</f>
        <v/>
      </c>
      <c r="H250" s="16">
        <f>IF(B250="","",SUMIFS(Pagos!$E:$E,Pagos!$B:$B,A250))</f>
        <v/>
      </c>
      <c r="I250" s="16">
        <f>IF(B250="","",SUMIFS(Pagos!$G:$G,Pagos!$B:$B,A250))</f>
        <v/>
      </c>
      <c r="J250" s="17">
        <f>IF(B250="","",IF(COUNTIF(Pagos!$B:$B,A250)=0,"",_xlfn.MAXIFS(Pagos!$D:$D,Pagos!$B:$B,A250)))</f>
        <v/>
      </c>
      <c r="K250" s="11">
        <f>IF(B250="","",IF(J250="",TODAY()-C250,TODAY()-J250))</f>
        <v/>
      </c>
      <c r="L250" s="11">
        <f>IF(B250="","",IF(F250="Diario",1,IF(F250="Semanal",7,IF(F250="Quincenal",15,IF(F250="Mensual",30,30))))+Resumen!$B$2)</f>
        <v/>
      </c>
      <c r="M250" s="11">
        <f>IF(B250="","",IF(G250&lt;=0,"Pagado",IF(K250&gt;L250,"Atrasado","Al dia")))</f>
        <v/>
      </c>
    </row>
    <row r="251">
      <c r="A251" s="11">
        <f>IF(B251="","","P"&amp;TEXT(ROW()-1,"000"))</f>
        <v/>
      </c>
      <c r="B251" s="12" t="n"/>
      <c r="C251" s="13" t="n"/>
      <c r="D251" s="14" t="n"/>
      <c r="E251" s="15" t="n"/>
      <c r="F251" s="12" t="n"/>
      <c r="G251" s="16">
        <f>IF(B251="","",D251-SUMIFS(Pagos!$H:$H,Pagos!$B:$B,A251))</f>
        <v/>
      </c>
      <c r="H251" s="16">
        <f>IF(B251="","",SUMIFS(Pagos!$E:$E,Pagos!$B:$B,A251))</f>
        <v/>
      </c>
      <c r="I251" s="16">
        <f>IF(B251="","",SUMIFS(Pagos!$G:$G,Pagos!$B:$B,A251))</f>
        <v/>
      </c>
      <c r="J251" s="17">
        <f>IF(B251="","",IF(COUNTIF(Pagos!$B:$B,A251)=0,"",_xlfn.MAXIFS(Pagos!$D:$D,Pagos!$B:$B,A251)))</f>
        <v/>
      </c>
      <c r="K251" s="11">
        <f>IF(B251="","",IF(J251="",TODAY()-C251,TODAY()-J251))</f>
        <v/>
      </c>
      <c r="L251" s="11">
        <f>IF(B251="","",IF(F251="Diario",1,IF(F251="Semanal",7,IF(F251="Quincenal",15,IF(F251="Mensual",30,30))))+Resumen!$B$2)</f>
        <v/>
      </c>
      <c r="M251" s="11">
        <f>IF(B251="","",IF(G251&lt;=0,"Pagado",IF(K251&gt;L251,"Atrasado","Al dia")))</f>
        <v/>
      </c>
    </row>
    <row r="252">
      <c r="A252" s="11">
        <f>IF(B252="","","P"&amp;TEXT(ROW()-1,"000"))</f>
        <v/>
      </c>
      <c r="B252" s="12" t="n"/>
      <c r="C252" s="13" t="n"/>
      <c r="D252" s="14" t="n"/>
      <c r="E252" s="15" t="n"/>
      <c r="F252" s="12" t="n"/>
      <c r="G252" s="16">
        <f>IF(B252="","",D252-SUMIFS(Pagos!$H:$H,Pagos!$B:$B,A252))</f>
        <v/>
      </c>
      <c r="H252" s="16">
        <f>IF(B252="","",SUMIFS(Pagos!$E:$E,Pagos!$B:$B,A252))</f>
        <v/>
      </c>
      <c r="I252" s="16">
        <f>IF(B252="","",SUMIFS(Pagos!$G:$G,Pagos!$B:$B,A252))</f>
        <v/>
      </c>
      <c r="J252" s="17">
        <f>IF(B252="","",IF(COUNTIF(Pagos!$B:$B,A252)=0,"",_xlfn.MAXIFS(Pagos!$D:$D,Pagos!$B:$B,A252)))</f>
        <v/>
      </c>
      <c r="K252" s="11">
        <f>IF(B252="","",IF(J252="",TODAY()-C252,TODAY()-J252))</f>
        <v/>
      </c>
      <c r="L252" s="11">
        <f>IF(B252="","",IF(F252="Diario",1,IF(F252="Semanal",7,IF(F252="Quincenal",15,IF(F252="Mensual",30,30))))+Resumen!$B$2)</f>
        <v/>
      </c>
      <c r="M252" s="11">
        <f>IF(B252="","",IF(G252&lt;=0,"Pagado",IF(K252&gt;L252,"Atrasado","Al dia")))</f>
        <v/>
      </c>
    </row>
    <row r="253">
      <c r="A253" s="11">
        <f>IF(B253="","","P"&amp;TEXT(ROW()-1,"000"))</f>
        <v/>
      </c>
      <c r="B253" s="12" t="n"/>
      <c r="C253" s="13" t="n"/>
      <c r="D253" s="14" t="n"/>
      <c r="E253" s="15" t="n"/>
      <c r="F253" s="12" t="n"/>
      <c r="G253" s="16">
        <f>IF(B253="","",D253-SUMIFS(Pagos!$H:$H,Pagos!$B:$B,A253))</f>
        <v/>
      </c>
      <c r="H253" s="16">
        <f>IF(B253="","",SUMIFS(Pagos!$E:$E,Pagos!$B:$B,A253))</f>
        <v/>
      </c>
      <c r="I253" s="16">
        <f>IF(B253="","",SUMIFS(Pagos!$G:$G,Pagos!$B:$B,A253))</f>
        <v/>
      </c>
      <c r="J253" s="17">
        <f>IF(B253="","",IF(COUNTIF(Pagos!$B:$B,A253)=0,"",_xlfn.MAXIFS(Pagos!$D:$D,Pagos!$B:$B,A253)))</f>
        <v/>
      </c>
      <c r="K253" s="11">
        <f>IF(B253="","",IF(J253="",TODAY()-C253,TODAY()-J253))</f>
        <v/>
      </c>
      <c r="L253" s="11">
        <f>IF(B253="","",IF(F253="Diario",1,IF(F253="Semanal",7,IF(F253="Quincenal",15,IF(F253="Mensual",30,30))))+Resumen!$B$2)</f>
        <v/>
      </c>
      <c r="M253" s="11">
        <f>IF(B253="","",IF(G253&lt;=0,"Pagado",IF(K253&gt;L253,"Atrasado","Al dia")))</f>
        <v/>
      </c>
    </row>
    <row r="254">
      <c r="A254" s="11">
        <f>IF(B254="","","P"&amp;TEXT(ROW()-1,"000"))</f>
        <v/>
      </c>
      <c r="B254" s="12" t="n"/>
      <c r="C254" s="13" t="n"/>
      <c r="D254" s="14" t="n"/>
      <c r="E254" s="15" t="n"/>
      <c r="F254" s="12" t="n"/>
      <c r="G254" s="16">
        <f>IF(B254="","",D254-SUMIFS(Pagos!$H:$H,Pagos!$B:$B,A254))</f>
        <v/>
      </c>
      <c r="H254" s="16">
        <f>IF(B254="","",SUMIFS(Pagos!$E:$E,Pagos!$B:$B,A254))</f>
        <v/>
      </c>
      <c r="I254" s="16">
        <f>IF(B254="","",SUMIFS(Pagos!$G:$G,Pagos!$B:$B,A254))</f>
        <v/>
      </c>
      <c r="J254" s="17">
        <f>IF(B254="","",IF(COUNTIF(Pagos!$B:$B,A254)=0,"",_xlfn.MAXIFS(Pagos!$D:$D,Pagos!$B:$B,A254)))</f>
        <v/>
      </c>
      <c r="K254" s="11">
        <f>IF(B254="","",IF(J254="",TODAY()-C254,TODAY()-J254))</f>
        <v/>
      </c>
      <c r="L254" s="11">
        <f>IF(B254="","",IF(F254="Diario",1,IF(F254="Semanal",7,IF(F254="Quincenal",15,IF(F254="Mensual",30,30))))+Resumen!$B$2)</f>
        <v/>
      </c>
      <c r="M254" s="11">
        <f>IF(B254="","",IF(G254&lt;=0,"Pagado",IF(K254&gt;L254,"Atrasado","Al dia")))</f>
        <v/>
      </c>
    </row>
    <row r="255">
      <c r="A255" s="11">
        <f>IF(B255="","","P"&amp;TEXT(ROW()-1,"000"))</f>
        <v/>
      </c>
      <c r="B255" s="12" t="n"/>
      <c r="C255" s="13" t="n"/>
      <c r="D255" s="14" t="n"/>
      <c r="E255" s="15" t="n"/>
      <c r="F255" s="12" t="n"/>
      <c r="G255" s="16">
        <f>IF(B255="","",D255-SUMIFS(Pagos!$H:$H,Pagos!$B:$B,A255))</f>
        <v/>
      </c>
      <c r="H255" s="16">
        <f>IF(B255="","",SUMIFS(Pagos!$E:$E,Pagos!$B:$B,A255))</f>
        <v/>
      </c>
      <c r="I255" s="16">
        <f>IF(B255="","",SUMIFS(Pagos!$G:$G,Pagos!$B:$B,A255))</f>
        <v/>
      </c>
      <c r="J255" s="17">
        <f>IF(B255="","",IF(COUNTIF(Pagos!$B:$B,A255)=0,"",_xlfn.MAXIFS(Pagos!$D:$D,Pagos!$B:$B,A255)))</f>
        <v/>
      </c>
      <c r="K255" s="11">
        <f>IF(B255="","",IF(J255="",TODAY()-C255,TODAY()-J255))</f>
        <v/>
      </c>
      <c r="L255" s="11">
        <f>IF(B255="","",IF(F255="Diario",1,IF(F255="Semanal",7,IF(F255="Quincenal",15,IF(F255="Mensual",30,30))))+Resumen!$B$2)</f>
        <v/>
      </c>
      <c r="M255" s="11">
        <f>IF(B255="","",IF(G255&lt;=0,"Pagado",IF(K255&gt;L255,"Atrasado","Al dia")))</f>
        <v/>
      </c>
    </row>
    <row r="256">
      <c r="A256" s="11">
        <f>IF(B256="","","P"&amp;TEXT(ROW()-1,"000"))</f>
        <v/>
      </c>
      <c r="B256" s="12" t="n"/>
      <c r="C256" s="13" t="n"/>
      <c r="D256" s="14" t="n"/>
      <c r="E256" s="15" t="n"/>
      <c r="F256" s="12" t="n"/>
      <c r="G256" s="16">
        <f>IF(B256="","",D256-SUMIFS(Pagos!$H:$H,Pagos!$B:$B,A256))</f>
        <v/>
      </c>
      <c r="H256" s="16">
        <f>IF(B256="","",SUMIFS(Pagos!$E:$E,Pagos!$B:$B,A256))</f>
        <v/>
      </c>
      <c r="I256" s="16">
        <f>IF(B256="","",SUMIFS(Pagos!$G:$G,Pagos!$B:$B,A256))</f>
        <v/>
      </c>
      <c r="J256" s="17">
        <f>IF(B256="","",IF(COUNTIF(Pagos!$B:$B,A256)=0,"",_xlfn.MAXIFS(Pagos!$D:$D,Pagos!$B:$B,A256)))</f>
        <v/>
      </c>
      <c r="K256" s="11">
        <f>IF(B256="","",IF(J256="",TODAY()-C256,TODAY()-J256))</f>
        <v/>
      </c>
      <c r="L256" s="11">
        <f>IF(B256="","",IF(F256="Diario",1,IF(F256="Semanal",7,IF(F256="Quincenal",15,IF(F256="Mensual",30,30))))+Resumen!$B$2)</f>
        <v/>
      </c>
      <c r="M256" s="11">
        <f>IF(B256="","",IF(G256&lt;=0,"Pagado",IF(K256&gt;L256,"Atrasado","Al dia")))</f>
        <v/>
      </c>
    </row>
    <row r="257">
      <c r="A257" s="11">
        <f>IF(B257="","","P"&amp;TEXT(ROW()-1,"000"))</f>
        <v/>
      </c>
      <c r="B257" s="12" t="n"/>
      <c r="C257" s="13" t="n"/>
      <c r="D257" s="14" t="n"/>
      <c r="E257" s="15" t="n"/>
      <c r="F257" s="12" t="n"/>
      <c r="G257" s="16">
        <f>IF(B257="","",D257-SUMIFS(Pagos!$H:$H,Pagos!$B:$B,A257))</f>
        <v/>
      </c>
      <c r="H257" s="16">
        <f>IF(B257="","",SUMIFS(Pagos!$E:$E,Pagos!$B:$B,A257))</f>
        <v/>
      </c>
      <c r="I257" s="16">
        <f>IF(B257="","",SUMIFS(Pagos!$G:$G,Pagos!$B:$B,A257))</f>
        <v/>
      </c>
      <c r="J257" s="17">
        <f>IF(B257="","",IF(COUNTIF(Pagos!$B:$B,A257)=0,"",_xlfn.MAXIFS(Pagos!$D:$D,Pagos!$B:$B,A257)))</f>
        <v/>
      </c>
      <c r="K257" s="11">
        <f>IF(B257="","",IF(J257="",TODAY()-C257,TODAY()-J257))</f>
        <v/>
      </c>
      <c r="L257" s="11">
        <f>IF(B257="","",IF(F257="Diario",1,IF(F257="Semanal",7,IF(F257="Quincenal",15,IF(F257="Mensual",30,30))))+Resumen!$B$2)</f>
        <v/>
      </c>
      <c r="M257" s="11">
        <f>IF(B257="","",IF(G257&lt;=0,"Pagado",IF(K257&gt;L257,"Atrasado","Al dia")))</f>
        <v/>
      </c>
    </row>
    <row r="258">
      <c r="A258" s="11">
        <f>IF(B258="","","P"&amp;TEXT(ROW()-1,"000"))</f>
        <v/>
      </c>
      <c r="B258" s="12" t="n"/>
      <c r="C258" s="13" t="n"/>
      <c r="D258" s="14" t="n"/>
      <c r="E258" s="15" t="n"/>
      <c r="F258" s="12" t="n"/>
      <c r="G258" s="16">
        <f>IF(B258="","",D258-SUMIFS(Pagos!$H:$H,Pagos!$B:$B,A258))</f>
        <v/>
      </c>
      <c r="H258" s="16">
        <f>IF(B258="","",SUMIFS(Pagos!$E:$E,Pagos!$B:$B,A258))</f>
        <v/>
      </c>
      <c r="I258" s="16">
        <f>IF(B258="","",SUMIFS(Pagos!$G:$G,Pagos!$B:$B,A258))</f>
        <v/>
      </c>
      <c r="J258" s="17">
        <f>IF(B258="","",IF(COUNTIF(Pagos!$B:$B,A258)=0,"",_xlfn.MAXIFS(Pagos!$D:$D,Pagos!$B:$B,A258)))</f>
        <v/>
      </c>
      <c r="K258" s="11">
        <f>IF(B258="","",IF(J258="",TODAY()-C258,TODAY()-J258))</f>
        <v/>
      </c>
      <c r="L258" s="11">
        <f>IF(B258="","",IF(F258="Diario",1,IF(F258="Semanal",7,IF(F258="Quincenal",15,IF(F258="Mensual",30,30))))+Resumen!$B$2)</f>
        <v/>
      </c>
      <c r="M258" s="11">
        <f>IF(B258="","",IF(G258&lt;=0,"Pagado",IF(K258&gt;L258,"Atrasado","Al dia")))</f>
        <v/>
      </c>
    </row>
    <row r="259">
      <c r="A259" s="11">
        <f>IF(B259="","","P"&amp;TEXT(ROW()-1,"000"))</f>
        <v/>
      </c>
      <c r="B259" s="12" t="n"/>
      <c r="C259" s="13" t="n"/>
      <c r="D259" s="14" t="n"/>
      <c r="E259" s="15" t="n"/>
      <c r="F259" s="12" t="n"/>
      <c r="G259" s="16">
        <f>IF(B259="","",D259-SUMIFS(Pagos!$H:$H,Pagos!$B:$B,A259))</f>
        <v/>
      </c>
      <c r="H259" s="16">
        <f>IF(B259="","",SUMIFS(Pagos!$E:$E,Pagos!$B:$B,A259))</f>
        <v/>
      </c>
      <c r="I259" s="16">
        <f>IF(B259="","",SUMIFS(Pagos!$G:$G,Pagos!$B:$B,A259))</f>
        <v/>
      </c>
      <c r="J259" s="17">
        <f>IF(B259="","",IF(COUNTIF(Pagos!$B:$B,A259)=0,"",_xlfn.MAXIFS(Pagos!$D:$D,Pagos!$B:$B,A259)))</f>
        <v/>
      </c>
      <c r="K259" s="11">
        <f>IF(B259="","",IF(J259="",TODAY()-C259,TODAY()-J259))</f>
        <v/>
      </c>
      <c r="L259" s="11">
        <f>IF(B259="","",IF(F259="Diario",1,IF(F259="Semanal",7,IF(F259="Quincenal",15,IF(F259="Mensual",30,30))))+Resumen!$B$2)</f>
        <v/>
      </c>
      <c r="M259" s="11">
        <f>IF(B259="","",IF(G259&lt;=0,"Pagado",IF(K259&gt;L259,"Atrasado","Al dia")))</f>
        <v/>
      </c>
    </row>
    <row r="260">
      <c r="A260" s="11">
        <f>IF(B260="","","P"&amp;TEXT(ROW()-1,"000"))</f>
        <v/>
      </c>
      <c r="B260" s="12" t="n"/>
      <c r="C260" s="13" t="n"/>
      <c r="D260" s="14" t="n"/>
      <c r="E260" s="15" t="n"/>
      <c r="F260" s="12" t="n"/>
      <c r="G260" s="16">
        <f>IF(B260="","",D260-SUMIFS(Pagos!$H:$H,Pagos!$B:$B,A260))</f>
        <v/>
      </c>
      <c r="H260" s="16">
        <f>IF(B260="","",SUMIFS(Pagos!$E:$E,Pagos!$B:$B,A260))</f>
        <v/>
      </c>
      <c r="I260" s="16">
        <f>IF(B260="","",SUMIFS(Pagos!$G:$G,Pagos!$B:$B,A260))</f>
        <v/>
      </c>
      <c r="J260" s="17">
        <f>IF(B260="","",IF(COUNTIF(Pagos!$B:$B,A260)=0,"",_xlfn.MAXIFS(Pagos!$D:$D,Pagos!$B:$B,A260)))</f>
        <v/>
      </c>
      <c r="K260" s="11">
        <f>IF(B260="","",IF(J260="",TODAY()-C260,TODAY()-J260))</f>
        <v/>
      </c>
      <c r="L260" s="11">
        <f>IF(B260="","",IF(F260="Diario",1,IF(F260="Semanal",7,IF(F260="Quincenal",15,IF(F260="Mensual",30,30))))+Resumen!$B$2)</f>
        <v/>
      </c>
      <c r="M260" s="11">
        <f>IF(B260="","",IF(G260&lt;=0,"Pagado",IF(K260&gt;L260,"Atrasado","Al dia")))</f>
        <v/>
      </c>
    </row>
    <row r="261">
      <c r="A261" s="11">
        <f>IF(B261="","","P"&amp;TEXT(ROW()-1,"000"))</f>
        <v/>
      </c>
      <c r="B261" s="12" t="n"/>
      <c r="C261" s="13" t="n"/>
      <c r="D261" s="14" t="n"/>
      <c r="E261" s="15" t="n"/>
      <c r="F261" s="12" t="n"/>
      <c r="G261" s="16">
        <f>IF(B261="","",D261-SUMIFS(Pagos!$H:$H,Pagos!$B:$B,A261))</f>
        <v/>
      </c>
      <c r="H261" s="16">
        <f>IF(B261="","",SUMIFS(Pagos!$E:$E,Pagos!$B:$B,A261))</f>
        <v/>
      </c>
      <c r="I261" s="16">
        <f>IF(B261="","",SUMIFS(Pagos!$G:$G,Pagos!$B:$B,A261))</f>
        <v/>
      </c>
      <c r="J261" s="17">
        <f>IF(B261="","",IF(COUNTIF(Pagos!$B:$B,A261)=0,"",_xlfn.MAXIFS(Pagos!$D:$D,Pagos!$B:$B,A261)))</f>
        <v/>
      </c>
      <c r="K261" s="11">
        <f>IF(B261="","",IF(J261="",TODAY()-C261,TODAY()-J261))</f>
        <v/>
      </c>
      <c r="L261" s="11">
        <f>IF(B261="","",IF(F261="Diario",1,IF(F261="Semanal",7,IF(F261="Quincenal",15,IF(F261="Mensual",30,30))))+Resumen!$B$2)</f>
        <v/>
      </c>
      <c r="M261" s="11">
        <f>IF(B261="","",IF(G261&lt;=0,"Pagado",IF(K261&gt;L261,"Atrasado","Al dia")))</f>
        <v/>
      </c>
    </row>
    <row r="262">
      <c r="A262" s="11">
        <f>IF(B262="","","P"&amp;TEXT(ROW()-1,"000"))</f>
        <v/>
      </c>
      <c r="B262" s="12" t="n"/>
      <c r="C262" s="13" t="n"/>
      <c r="D262" s="14" t="n"/>
      <c r="E262" s="15" t="n"/>
      <c r="F262" s="12" t="n"/>
      <c r="G262" s="16">
        <f>IF(B262="","",D262-SUMIFS(Pagos!$H:$H,Pagos!$B:$B,A262))</f>
        <v/>
      </c>
      <c r="H262" s="16">
        <f>IF(B262="","",SUMIFS(Pagos!$E:$E,Pagos!$B:$B,A262))</f>
        <v/>
      </c>
      <c r="I262" s="16">
        <f>IF(B262="","",SUMIFS(Pagos!$G:$G,Pagos!$B:$B,A262))</f>
        <v/>
      </c>
      <c r="J262" s="17">
        <f>IF(B262="","",IF(COUNTIF(Pagos!$B:$B,A262)=0,"",_xlfn.MAXIFS(Pagos!$D:$D,Pagos!$B:$B,A262)))</f>
        <v/>
      </c>
      <c r="K262" s="11">
        <f>IF(B262="","",IF(J262="",TODAY()-C262,TODAY()-J262))</f>
        <v/>
      </c>
      <c r="L262" s="11">
        <f>IF(B262="","",IF(F262="Diario",1,IF(F262="Semanal",7,IF(F262="Quincenal",15,IF(F262="Mensual",30,30))))+Resumen!$B$2)</f>
        <v/>
      </c>
      <c r="M262" s="11">
        <f>IF(B262="","",IF(G262&lt;=0,"Pagado",IF(K262&gt;L262,"Atrasado","Al dia")))</f>
        <v/>
      </c>
    </row>
    <row r="263">
      <c r="A263" s="11">
        <f>IF(B263="","","P"&amp;TEXT(ROW()-1,"000"))</f>
        <v/>
      </c>
      <c r="B263" s="12" t="n"/>
      <c r="C263" s="13" t="n"/>
      <c r="D263" s="14" t="n"/>
      <c r="E263" s="15" t="n"/>
      <c r="F263" s="12" t="n"/>
      <c r="G263" s="16">
        <f>IF(B263="","",D263-SUMIFS(Pagos!$H:$H,Pagos!$B:$B,A263))</f>
        <v/>
      </c>
      <c r="H263" s="16">
        <f>IF(B263="","",SUMIFS(Pagos!$E:$E,Pagos!$B:$B,A263))</f>
        <v/>
      </c>
      <c r="I263" s="16">
        <f>IF(B263="","",SUMIFS(Pagos!$G:$G,Pagos!$B:$B,A263))</f>
        <v/>
      </c>
      <c r="J263" s="17">
        <f>IF(B263="","",IF(COUNTIF(Pagos!$B:$B,A263)=0,"",_xlfn.MAXIFS(Pagos!$D:$D,Pagos!$B:$B,A263)))</f>
        <v/>
      </c>
      <c r="K263" s="11">
        <f>IF(B263="","",IF(J263="",TODAY()-C263,TODAY()-J263))</f>
        <v/>
      </c>
      <c r="L263" s="11">
        <f>IF(B263="","",IF(F263="Diario",1,IF(F263="Semanal",7,IF(F263="Quincenal",15,IF(F263="Mensual",30,30))))+Resumen!$B$2)</f>
        <v/>
      </c>
      <c r="M263" s="11">
        <f>IF(B263="","",IF(G263&lt;=0,"Pagado",IF(K263&gt;L263,"Atrasado","Al dia")))</f>
        <v/>
      </c>
    </row>
    <row r="264">
      <c r="A264" s="11">
        <f>IF(B264="","","P"&amp;TEXT(ROW()-1,"000"))</f>
        <v/>
      </c>
      <c r="B264" s="12" t="n"/>
      <c r="C264" s="13" t="n"/>
      <c r="D264" s="14" t="n"/>
      <c r="E264" s="15" t="n"/>
      <c r="F264" s="12" t="n"/>
      <c r="G264" s="16">
        <f>IF(B264="","",D264-SUMIFS(Pagos!$H:$H,Pagos!$B:$B,A264))</f>
        <v/>
      </c>
      <c r="H264" s="16">
        <f>IF(B264="","",SUMIFS(Pagos!$E:$E,Pagos!$B:$B,A264))</f>
        <v/>
      </c>
      <c r="I264" s="16">
        <f>IF(B264="","",SUMIFS(Pagos!$G:$G,Pagos!$B:$B,A264))</f>
        <v/>
      </c>
      <c r="J264" s="17">
        <f>IF(B264="","",IF(COUNTIF(Pagos!$B:$B,A264)=0,"",_xlfn.MAXIFS(Pagos!$D:$D,Pagos!$B:$B,A264)))</f>
        <v/>
      </c>
      <c r="K264" s="11">
        <f>IF(B264="","",IF(J264="",TODAY()-C264,TODAY()-J264))</f>
        <v/>
      </c>
      <c r="L264" s="11">
        <f>IF(B264="","",IF(F264="Diario",1,IF(F264="Semanal",7,IF(F264="Quincenal",15,IF(F264="Mensual",30,30))))+Resumen!$B$2)</f>
        <v/>
      </c>
      <c r="M264" s="11">
        <f>IF(B264="","",IF(G264&lt;=0,"Pagado",IF(K264&gt;L264,"Atrasado","Al dia")))</f>
        <v/>
      </c>
    </row>
    <row r="265">
      <c r="A265" s="11">
        <f>IF(B265="","","P"&amp;TEXT(ROW()-1,"000"))</f>
        <v/>
      </c>
      <c r="B265" s="12" t="n"/>
      <c r="C265" s="13" t="n"/>
      <c r="D265" s="14" t="n"/>
      <c r="E265" s="15" t="n"/>
      <c r="F265" s="12" t="n"/>
      <c r="G265" s="16">
        <f>IF(B265="","",D265-SUMIFS(Pagos!$H:$H,Pagos!$B:$B,A265))</f>
        <v/>
      </c>
      <c r="H265" s="16">
        <f>IF(B265="","",SUMIFS(Pagos!$E:$E,Pagos!$B:$B,A265))</f>
        <v/>
      </c>
      <c r="I265" s="16">
        <f>IF(B265="","",SUMIFS(Pagos!$G:$G,Pagos!$B:$B,A265))</f>
        <v/>
      </c>
      <c r="J265" s="17">
        <f>IF(B265="","",IF(COUNTIF(Pagos!$B:$B,A265)=0,"",_xlfn.MAXIFS(Pagos!$D:$D,Pagos!$B:$B,A265)))</f>
        <v/>
      </c>
      <c r="K265" s="11">
        <f>IF(B265="","",IF(J265="",TODAY()-C265,TODAY()-J265))</f>
        <v/>
      </c>
      <c r="L265" s="11">
        <f>IF(B265="","",IF(F265="Diario",1,IF(F265="Semanal",7,IF(F265="Quincenal",15,IF(F265="Mensual",30,30))))+Resumen!$B$2)</f>
        <v/>
      </c>
      <c r="M265" s="11">
        <f>IF(B265="","",IF(G265&lt;=0,"Pagado",IF(K265&gt;L265,"Atrasado","Al dia")))</f>
        <v/>
      </c>
    </row>
    <row r="266">
      <c r="A266" s="11">
        <f>IF(B266="","","P"&amp;TEXT(ROW()-1,"000"))</f>
        <v/>
      </c>
      <c r="B266" s="12" t="n"/>
      <c r="C266" s="13" t="n"/>
      <c r="D266" s="14" t="n"/>
      <c r="E266" s="15" t="n"/>
      <c r="F266" s="12" t="n"/>
      <c r="G266" s="16">
        <f>IF(B266="","",D266-SUMIFS(Pagos!$H:$H,Pagos!$B:$B,A266))</f>
        <v/>
      </c>
      <c r="H266" s="16">
        <f>IF(B266="","",SUMIFS(Pagos!$E:$E,Pagos!$B:$B,A266))</f>
        <v/>
      </c>
      <c r="I266" s="16">
        <f>IF(B266="","",SUMIFS(Pagos!$G:$G,Pagos!$B:$B,A266))</f>
        <v/>
      </c>
      <c r="J266" s="17">
        <f>IF(B266="","",IF(COUNTIF(Pagos!$B:$B,A266)=0,"",_xlfn.MAXIFS(Pagos!$D:$D,Pagos!$B:$B,A266)))</f>
        <v/>
      </c>
      <c r="K266" s="11">
        <f>IF(B266="","",IF(J266="",TODAY()-C266,TODAY()-J266))</f>
        <v/>
      </c>
      <c r="L266" s="11">
        <f>IF(B266="","",IF(F266="Diario",1,IF(F266="Semanal",7,IF(F266="Quincenal",15,IF(F266="Mensual",30,30))))+Resumen!$B$2)</f>
        <v/>
      </c>
      <c r="M266" s="11">
        <f>IF(B266="","",IF(G266&lt;=0,"Pagado",IF(K266&gt;L266,"Atrasado","Al dia")))</f>
        <v/>
      </c>
    </row>
    <row r="267">
      <c r="A267" s="11">
        <f>IF(B267="","","P"&amp;TEXT(ROW()-1,"000"))</f>
        <v/>
      </c>
      <c r="B267" s="12" t="n"/>
      <c r="C267" s="13" t="n"/>
      <c r="D267" s="14" t="n"/>
      <c r="E267" s="15" t="n"/>
      <c r="F267" s="12" t="n"/>
      <c r="G267" s="16">
        <f>IF(B267="","",D267-SUMIFS(Pagos!$H:$H,Pagos!$B:$B,A267))</f>
        <v/>
      </c>
      <c r="H267" s="16">
        <f>IF(B267="","",SUMIFS(Pagos!$E:$E,Pagos!$B:$B,A267))</f>
        <v/>
      </c>
      <c r="I267" s="16">
        <f>IF(B267="","",SUMIFS(Pagos!$G:$G,Pagos!$B:$B,A267))</f>
        <v/>
      </c>
      <c r="J267" s="17">
        <f>IF(B267="","",IF(COUNTIF(Pagos!$B:$B,A267)=0,"",_xlfn.MAXIFS(Pagos!$D:$D,Pagos!$B:$B,A267)))</f>
        <v/>
      </c>
      <c r="K267" s="11">
        <f>IF(B267="","",IF(J267="",TODAY()-C267,TODAY()-J267))</f>
        <v/>
      </c>
      <c r="L267" s="11">
        <f>IF(B267="","",IF(F267="Diario",1,IF(F267="Semanal",7,IF(F267="Quincenal",15,IF(F267="Mensual",30,30))))+Resumen!$B$2)</f>
        <v/>
      </c>
      <c r="M267" s="11">
        <f>IF(B267="","",IF(G267&lt;=0,"Pagado",IF(K267&gt;L267,"Atrasado","Al dia")))</f>
        <v/>
      </c>
    </row>
    <row r="268">
      <c r="A268" s="11">
        <f>IF(B268="","","P"&amp;TEXT(ROW()-1,"000"))</f>
        <v/>
      </c>
      <c r="B268" s="12" t="n"/>
      <c r="C268" s="13" t="n"/>
      <c r="D268" s="14" t="n"/>
      <c r="E268" s="15" t="n"/>
      <c r="F268" s="12" t="n"/>
      <c r="G268" s="16">
        <f>IF(B268="","",D268-SUMIFS(Pagos!$H:$H,Pagos!$B:$B,A268))</f>
        <v/>
      </c>
      <c r="H268" s="16">
        <f>IF(B268="","",SUMIFS(Pagos!$E:$E,Pagos!$B:$B,A268))</f>
        <v/>
      </c>
      <c r="I268" s="16">
        <f>IF(B268="","",SUMIFS(Pagos!$G:$G,Pagos!$B:$B,A268))</f>
        <v/>
      </c>
      <c r="J268" s="17">
        <f>IF(B268="","",IF(COUNTIF(Pagos!$B:$B,A268)=0,"",_xlfn.MAXIFS(Pagos!$D:$D,Pagos!$B:$B,A268)))</f>
        <v/>
      </c>
      <c r="K268" s="11">
        <f>IF(B268="","",IF(J268="",TODAY()-C268,TODAY()-J268))</f>
        <v/>
      </c>
      <c r="L268" s="11">
        <f>IF(B268="","",IF(F268="Diario",1,IF(F268="Semanal",7,IF(F268="Quincenal",15,IF(F268="Mensual",30,30))))+Resumen!$B$2)</f>
        <v/>
      </c>
      <c r="M268" s="11">
        <f>IF(B268="","",IF(G268&lt;=0,"Pagado",IF(K268&gt;L268,"Atrasado","Al dia")))</f>
        <v/>
      </c>
    </row>
    <row r="269">
      <c r="A269" s="11">
        <f>IF(B269="","","P"&amp;TEXT(ROW()-1,"000"))</f>
        <v/>
      </c>
      <c r="B269" s="12" t="n"/>
      <c r="C269" s="13" t="n"/>
      <c r="D269" s="14" t="n"/>
      <c r="E269" s="15" t="n"/>
      <c r="F269" s="12" t="n"/>
      <c r="G269" s="16">
        <f>IF(B269="","",D269-SUMIFS(Pagos!$H:$H,Pagos!$B:$B,A269))</f>
        <v/>
      </c>
      <c r="H269" s="16">
        <f>IF(B269="","",SUMIFS(Pagos!$E:$E,Pagos!$B:$B,A269))</f>
        <v/>
      </c>
      <c r="I269" s="16">
        <f>IF(B269="","",SUMIFS(Pagos!$G:$G,Pagos!$B:$B,A269))</f>
        <v/>
      </c>
      <c r="J269" s="17">
        <f>IF(B269="","",IF(COUNTIF(Pagos!$B:$B,A269)=0,"",_xlfn.MAXIFS(Pagos!$D:$D,Pagos!$B:$B,A269)))</f>
        <v/>
      </c>
      <c r="K269" s="11">
        <f>IF(B269="","",IF(J269="",TODAY()-C269,TODAY()-J269))</f>
        <v/>
      </c>
      <c r="L269" s="11">
        <f>IF(B269="","",IF(F269="Diario",1,IF(F269="Semanal",7,IF(F269="Quincenal",15,IF(F269="Mensual",30,30))))+Resumen!$B$2)</f>
        <v/>
      </c>
      <c r="M269" s="11">
        <f>IF(B269="","",IF(G269&lt;=0,"Pagado",IF(K269&gt;L269,"Atrasado","Al dia")))</f>
        <v/>
      </c>
    </row>
    <row r="270">
      <c r="A270" s="11">
        <f>IF(B270="","","P"&amp;TEXT(ROW()-1,"000"))</f>
        <v/>
      </c>
      <c r="B270" s="12" t="n"/>
      <c r="C270" s="13" t="n"/>
      <c r="D270" s="14" t="n"/>
      <c r="E270" s="15" t="n"/>
      <c r="F270" s="12" t="n"/>
      <c r="G270" s="16">
        <f>IF(B270="","",D270-SUMIFS(Pagos!$H:$H,Pagos!$B:$B,A270))</f>
        <v/>
      </c>
      <c r="H270" s="16">
        <f>IF(B270="","",SUMIFS(Pagos!$E:$E,Pagos!$B:$B,A270))</f>
        <v/>
      </c>
      <c r="I270" s="16">
        <f>IF(B270="","",SUMIFS(Pagos!$G:$G,Pagos!$B:$B,A270))</f>
        <v/>
      </c>
      <c r="J270" s="17">
        <f>IF(B270="","",IF(COUNTIF(Pagos!$B:$B,A270)=0,"",_xlfn.MAXIFS(Pagos!$D:$D,Pagos!$B:$B,A270)))</f>
        <v/>
      </c>
      <c r="K270" s="11">
        <f>IF(B270="","",IF(J270="",TODAY()-C270,TODAY()-J270))</f>
        <v/>
      </c>
      <c r="L270" s="11">
        <f>IF(B270="","",IF(F270="Diario",1,IF(F270="Semanal",7,IF(F270="Quincenal",15,IF(F270="Mensual",30,30))))+Resumen!$B$2)</f>
        <v/>
      </c>
      <c r="M270" s="11">
        <f>IF(B270="","",IF(G270&lt;=0,"Pagado",IF(K270&gt;L270,"Atrasado","Al dia")))</f>
        <v/>
      </c>
    </row>
    <row r="271">
      <c r="A271" s="11">
        <f>IF(B271="","","P"&amp;TEXT(ROW()-1,"000"))</f>
        <v/>
      </c>
      <c r="B271" s="12" t="n"/>
      <c r="C271" s="13" t="n"/>
      <c r="D271" s="14" t="n"/>
      <c r="E271" s="15" t="n"/>
      <c r="F271" s="12" t="n"/>
      <c r="G271" s="16">
        <f>IF(B271="","",D271-SUMIFS(Pagos!$H:$H,Pagos!$B:$B,A271))</f>
        <v/>
      </c>
      <c r="H271" s="16">
        <f>IF(B271="","",SUMIFS(Pagos!$E:$E,Pagos!$B:$B,A271))</f>
        <v/>
      </c>
      <c r="I271" s="16">
        <f>IF(B271="","",SUMIFS(Pagos!$G:$G,Pagos!$B:$B,A271))</f>
        <v/>
      </c>
      <c r="J271" s="17">
        <f>IF(B271="","",IF(COUNTIF(Pagos!$B:$B,A271)=0,"",_xlfn.MAXIFS(Pagos!$D:$D,Pagos!$B:$B,A271)))</f>
        <v/>
      </c>
      <c r="K271" s="11">
        <f>IF(B271="","",IF(J271="",TODAY()-C271,TODAY()-J271))</f>
        <v/>
      </c>
      <c r="L271" s="11">
        <f>IF(B271="","",IF(F271="Diario",1,IF(F271="Semanal",7,IF(F271="Quincenal",15,IF(F271="Mensual",30,30))))+Resumen!$B$2)</f>
        <v/>
      </c>
      <c r="M271" s="11">
        <f>IF(B271="","",IF(G271&lt;=0,"Pagado",IF(K271&gt;L271,"Atrasado","Al dia")))</f>
        <v/>
      </c>
    </row>
    <row r="272">
      <c r="A272" s="11">
        <f>IF(B272="","","P"&amp;TEXT(ROW()-1,"000"))</f>
        <v/>
      </c>
      <c r="B272" s="12" t="n"/>
      <c r="C272" s="13" t="n"/>
      <c r="D272" s="14" t="n"/>
      <c r="E272" s="15" t="n"/>
      <c r="F272" s="12" t="n"/>
      <c r="G272" s="16">
        <f>IF(B272="","",D272-SUMIFS(Pagos!$H:$H,Pagos!$B:$B,A272))</f>
        <v/>
      </c>
      <c r="H272" s="16">
        <f>IF(B272="","",SUMIFS(Pagos!$E:$E,Pagos!$B:$B,A272))</f>
        <v/>
      </c>
      <c r="I272" s="16">
        <f>IF(B272="","",SUMIFS(Pagos!$G:$G,Pagos!$B:$B,A272))</f>
        <v/>
      </c>
      <c r="J272" s="17">
        <f>IF(B272="","",IF(COUNTIF(Pagos!$B:$B,A272)=0,"",_xlfn.MAXIFS(Pagos!$D:$D,Pagos!$B:$B,A272)))</f>
        <v/>
      </c>
      <c r="K272" s="11">
        <f>IF(B272="","",IF(J272="",TODAY()-C272,TODAY()-J272))</f>
        <v/>
      </c>
      <c r="L272" s="11">
        <f>IF(B272="","",IF(F272="Diario",1,IF(F272="Semanal",7,IF(F272="Quincenal",15,IF(F272="Mensual",30,30))))+Resumen!$B$2)</f>
        <v/>
      </c>
      <c r="M272" s="11">
        <f>IF(B272="","",IF(G272&lt;=0,"Pagado",IF(K272&gt;L272,"Atrasado","Al dia")))</f>
        <v/>
      </c>
    </row>
    <row r="273">
      <c r="A273" s="11">
        <f>IF(B273="","","P"&amp;TEXT(ROW()-1,"000"))</f>
        <v/>
      </c>
      <c r="B273" s="12" t="n"/>
      <c r="C273" s="13" t="n"/>
      <c r="D273" s="14" t="n"/>
      <c r="E273" s="15" t="n"/>
      <c r="F273" s="12" t="n"/>
      <c r="G273" s="16">
        <f>IF(B273="","",D273-SUMIFS(Pagos!$H:$H,Pagos!$B:$B,A273))</f>
        <v/>
      </c>
      <c r="H273" s="16">
        <f>IF(B273="","",SUMIFS(Pagos!$E:$E,Pagos!$B:$B,A273))</f>
        <v/>
      </c>
      <c r="I273" s="16">
        <f>IF(B273="","",SUMIFS(Pagos!$G:$G,Pagos!$B:$B,A273))</f>
        <v/>
      </c>
      <c r="J273" s="17">
        <f>IF(B273="","",IF(COUNTIF(Pagos!$B:$B,A273)=0,"",_xlfn.MAXIFS(Pagos!$D:$D,Pagos!$B:$B,A273)))</f>
        <v/>
      </c>
      <c r="K273" s="11">
        <f>IF(B273="","",IF(J273="",TODAY()-C273,TODAY()-J273))</f>
        <v/>
      </c>
      <c r="L273" s="11">
        <f>IF(B273="","",IF(F273="Diario",1,IF(F273="Semanal",7,IF(F273="Quincenal",15,IF(F273="Mensual",30,30))))+Resumen!$B$2)</f>
        <v/>
      </c>
      <c r="M273" s="11">
        <f>IF(B273="","",IF(G273&lt;=0,"Pagado",IF(K273&gt;L273,"Atrasado","Al dia")))</f>
        <v/>
      </c>
    </row>
    <row r="274">
      <c r="A274" s="11">
        <f>IF(B274="","","P"&amp;TEXT(ROW()-1,"000"))</f>
        <v/>
      </c>
      <c r="B274" s="12" t="n"/>
      <c r="C274" s="13" t="n"/>
      <c r="D274" s="14" t="n"/>
      <c r="E274" s="15" t="n"/>
      <c r="F274" s="12" t="n"/>
      <c r="G274" s="16">
        <f>IF(B274="","",D274-SUMIFS(Pagos!$H:$H,Pagos!$B:$B,A274))</f>
        <v/>
      </c>
      <c r="H274" s="16">
        <f>IF(B274="","",SUMIFS(Pagos!$E:$E,Pagos!$B:$B,A274))</f>
        <v/>
      </c>
      <c r="I274" s="16">
        <f>IF(B274="","",SUMIFS(Pagos!$G:$G,Pagos!$B:$B,A274))</f>
        <v/>
      </c>
      <c r="J274" s="17">
        <f>IF(B274="","",IF(COUNTIF(Pagos!$B:$B,A274)=0,"",_xlfn.MAXIFS(Pagos!$D:$D,Pagos!$B:$B,A274)))</f>
        <v/>
      </c>
      <c r="K274" s="11">
        <f>IF(B274="","",IF(J274="",TODAY()-C274,TODAY()-J274))</f>
        <v/>
      </c>
      <c r="L274" s="11">
        <f>IF(B274="","",IF(F274="Diario",1,IF(F274="Semanal",7,IF(F274="Quincenal",15,IF(F274="Mensual",30,30))))+Resumen!$B$2)</f>
        <v/>
      </c>
      <c r="M274" s="11">
        <f>IF(B274="","",IF(G274&lt;=0,"Pagado",IF(K274&gt;L274,"Atrasado","Al dia")))</f>
        <v/>
      </c>
    </row>
    <row r="275">
      <c r="A275" s="11">
        <f>IF(B275="","","P"&amp;TEXT(ROW()-1,"000"))</f>
        <v/>
      </c>
      <c r="B275" s="12" t="n"/>
      <c r="C275" s="13" t="n"/>
      <c r="D275" s="14" t="n"/>
      <c r="E275" s="15" t="n"/>
      <c r="F275" s="12" t="n"/>
      <c r="G275" s="16">
        <f>IF(B275="","",D275-SUMIFS(Pagos!$H:$H,Pagos!$B:$B,A275))</f>
        <v/>
      </c>
      <c r="H275" s="16">
        <f>IF(B275="","",SUMIFS(Pagos!$E:$E,Pagos!$B:$B,A275))</f>
        <v/>
      </c>
      <c r="I275" s="16">
        <f>IF(B275="","",SUMIFS(Pagos!$G:$G,Pagos!$B:$B,A275))</f>
        <v/>
      </c>
      <c r="J275" s="17">
        <f>IF(B275="","",IF(COUNTIF(Pagos!$B:$B,A275)=0,"",_xlfn.MAXIFS(Pagos!$D:$D,Pagos!$B:$B,A275)))</f>
        <v/>
      </c>
      <c r="K275" s="11">
        <f>IF(B275="","",IF(J275="",TODAY()-C275,TODAY()-J275))</f>
        <v/>
      </c>
      <c r="L275" s="11">
        <f>IF(B275="","",IF(F275="Diario",1,IF(F275="Semanal",7,IF(F275="Quincenal",15,IF(F275="Mensual",30,30))))+Resumen!$B$2)</f>
        <v/>
      </c>
      <c r="M275" s="11">
        <f>IF(B275="","",IF(G275&lt;=0,"Pagado",IF(K275&gt;L275,"Atrasado","Al dia")))</f>
        <v/>
      </c>
    </row>
    <row r="276">
      <c r="A276" s="11">
        <f>IF(B276="","","P"&amp;TEXT(ROW()-1,"000"))</f>
        <v/>
      </c>
      <c r="B276" s="12" t="n"/>
      <c r="C276" s="13" t="n"/>
      <c r="D276" s="14" t="n"/>
      <c r="E276" s="15" t="n"/>
      <c r="F276" s="12" t="n"/>
      <c r="G276" s="16">
        <f>IF(B276="","",D276-SUMIFS(Pagos!$H:$H,Pagos!$B:$B,A276))</f>
        <v/>
      </c>
      <c r="H276" s="16">
        <f>IF(B276="","",SUMIFS(Pagos!$E:$E,Pagos!$B:$B,A276))</f>
        <v/>
      </c>
      <c r="I276" s="16">
        <f>IF(B276="","",SUMIFS(Pagos!$G:$G,Pagos!$B:$B,A276))</f>
        <v/>
      </c>
      <c r="J276" s="17">
        <f>IF(B276="","",IF(COUNTIF(Pagos!$B:$B,A276)=0,"",_xlfn.MAXIFS(Pagos!$D:$D,Pagos!$B:$B,A276)))</f>
        <v/>
      </c>
      <c r="K276" s="11">
        <f>IF(B276="","",IF(J276="",TODAY()-C276,TODAY()-J276))</f>
        <v/>
      </c>
      <c r="L276" s="11">
        <f>IF(B276="","",IF(F276="Diario",1,IF(F276="Semanal",7,IF(F276="Quincenal",15,IF(F276="Mensual",30,30))))+Resumen!$B$2)</f>
        <v/>
      </c>
      <c r="M276" s="11">
        <f>IF(B276="","",IF(G276&lt;=0,"Pagado",IF(K276&gt;L276,"Atrasado","Al dia")))</f>
        <v/>
      </c>
    </row>
    <row r="277">
      <c r="A277" s="11">
        <f>IF(B277="","","P"&amp;TEXT(ROW()-1,"000"))</f>
        <v/>
      </c>
      <c r="B277" s="12" t="n"/>
      <c r="C277" s="13" t="n"/>
      <c r="D277" s="14" t="n"/>
      <c r="E277" s="15" t="n"/>
      <c r="F277" s="12" t="n"/>
      <c r="G277" s="16">
        <f>IF(B277="","",D277-SUMIFS(Pagos!$H:$H,Pagos!$B:$B,A277))</f>
        <v/>
      </c>
      <c r="H277" s="16">
        <f>IF(B277="","",SUMIFS(Pagos!$E:$E,Pagos!$B:$B,A277))</f>
        <v/>
      </c>
      <c r="I277" s="16">
        <f>IF(B277="","",SUMIFS(Pagos!$G:$G,Pagos!$B:$B,A277))</f>
        <v/>
      </c>
      <c r="J277" s="17">
        <f>IF(B277="","",IF(COUNTIF(Pagos!$B:$B,A277)=0,"",_xlfn.MAXIFS(Pagos!$D:$D,Pagos!$B:$B,A277)))</f>
        <v/>
      </c>
      <c r="K277" s="11">
        <f>IF(B277="","",IF(J277="",TODAY()-C277,TODAY()-J277))</f>
        <v/>
      </c>
      <c r="L277" s="11">
        <f>IF(B277="","",IF(F277="Diario",1,IF(F277="Semanal",7,IF(F277="Quincenal",15,IF(F277="Mensual",30,30))))+Resumen!$B$2)</f>
        <v/>
      </c>
      <c r="M277" s="11">
        <f>IF(B277="","",IF(G277&lt;=0,"Pagado",IF(K277&gt;L277,"Atrasado","Al dia")))</f>
        <v/>
      </c>
    </row>
    <row r="278">
      <c r="A278" s="11">
        <f>IF(B278="","","P"&amp;TEXT(ROW()-1,"000"))</f>
        <v/>
      </c>
      <c r="B278" s="12" t="n"/>
      <c r="C278" s="13" t="n"/>
      <c r="D278" s="14" t="n"/>
      <c r="E278" s="15" t="n"/>
      <c r="F278" s="12" t="n"/>
      <c r="G278" s="16">
        <f>IF(B278="","",D278-SUMIFS(Pagos!$H:$H,Pagos!$B:$B,A278))</f>
        <v/>
      </c>
      <c r="H278" s="16">
        <f>IF(B278="","",SUMIFS(Pagos!$E:$E,Pagos!$B:$B,A278))</f>
        <v/>
      </c>
      <c r="I278" s="16">
        <f>IF(B278="","",SUMIFS(Pagos!$G:$G,Pagos!$B:$B,A278))</f>
        <v/>
      </c>
      <c r="J278" s="17">
        <f>IF(B278="","",IF(COUNTIF(Pagos!$B:$B,A278)=0,"",_xlfn.MAXIFS(Pagos!$D:$D,Pagos!$B:$B,A278)))</f>
        <v/>
      </c>
      <c r="K278" s="11">
        <f>IF(B278="","",IF(J278="",TODAY()-C278,TODAY()-J278))</f>
        <v/>
      </c>
      <c r="L278" s="11">
        <f>IF(B278="","",IF(F278="Diario",1,IF(F278="Semanal",7,IF(F278="Quincenal",15,IF(F278="Mensual",30,30))))+Resumen!$B$2)</f>
        <v/>
      </c>
      <c r="M278" s="11">
        <f>IF(B278="","",IF(G278&lt;=0,"Pagado",IF(K278&gt;L278,"Atrasado","Al dia")))</f>
        <v/>
      </c>
    </row>
    <row r="279">
      <c r="A279" s="11">
        <f>IF(B279="","","P"&amp;TEXT(ROW()-1,"000"))</f>
        <v/>
      </c>
      <c r="B279" s="12" t="n"/>
      <c r="C279" s="13" t="n"/>
      <c r="D279" s="14" t="n"/>
      <c r="E279" s="15" t="n"/>
      <c r="F279" s="12" t="n"/>
      <c r="G279" s="16">
        <f>IF(B279="","",D279-SUMIFS(Pagos!$H:$H,Pagos!$B:$B,A279))</f>
        <v/>
      </c>
      <c r="H279" s="16">
        <f>IF(B279="","",SUMIFS(Pagos!$E:$E,Pagos!$B:$B,A279))</f>
        <v/>
      </c>
      <c r="I279" s="16">
        <f>IF(B279="","",SUMIFS(Pagos!$G:$G,Pagos!$B:$B,A279))</f>
        <v/>
      </c>
      <c r="J279" s="17">
        <f>IF(B279="","",IF(COUNTIF(Pagos!$B:$B,A279)=0,"",_xlfn.MAXIFS(Pagos!$D:$D,Pagos!$B:$B,A279)))</f>
        <v/>
      </c>
      <c r="K279" s="11">
        <f>IF(B279="","",IF(J279="",TODAY()-C279,TODAY()-J279))</f>
        <v/>
      </c>
      <c r="L279" s="11">
        <f>IF(B279="","",IF(F279="Diario",1,IF(F279="Semanal",7,IF(F279="Quincenal",15,IF(F279="Mensual",30,30))))+Resumen!$B$2)</f>
        <v/>
      </c>
      <c r="M279" s="11">
        <f>IF(B279="","",IF(G279&lt;=0,"Pagado",IF(K279&gt;L279,"Atrasado","Al dia")))</f>
        <v/>
      </c>
    </row>
    <row r="280">
      <c r="A280" s="11">
        <f>IF(B280="","","P"&amp;TEXT(ROW()-1,"000"))</f>
        <v/>
      </c>
      <c r="B280" s="12" t="n"/>
      <c r="C280" s="13" t="n"/>
      <c r="D280" s="14" t="n"/>
      <c r="E280" s="15" t="n"/>
      <c r="F280" s="12" t="n"/>
      <c r="G280" s="16">
        <f>IF(B280="","",D280-SUMIFS(Pagos!$H:$H,Pagos!$B:$B,A280))</f>
        <v/>
      </c>
      <c r="H280" s="16">
        <f>IF(B280="","",SUMIFS(Pagos!$E:$E,Pagos!$B:$B,A280))</f>
        <v/>
      </c>
      <c r="I280" s="16">
        <f>IF(B280="","",SUMIFS(Pagos!$G:$G,Pagos!$B:$B,A280))</f>
        <v/>
      </c>
      <c r="J280" s="17">
        <f>IF(B280="","",IF(COUNTIF(Pagos!$B:$B,A280)=0,"",_xlfn.MAXIFS(Pagos!$D:$D,Pagos!$B:$B,A280)))</f>
        <v/>
      </c>
      <c r="K280" s="11">
        <f>IF(B280="","",IF(J280="",TODAY()-C280,TODAY()-J280))</f>
        <v/>
      </c>
      <c r="L280" s="11">
        <f>IF(B280="","",IF(F280="Diario",1,IF(F280="Semanal",7,IF(F280="Quincenal",15,IF(F280="Mensual",30,30))))+Resumen!$B$2)</f>
        <v/>
      </c>
      <c r="M280" s="11">
        <f>IF(B280="","",IF(G280&lt;=0,"Pagado",IF(K280&gt;L280,"Atrasado","Al dia")))</f>
        <v/>
      </c>
    </row>
    <row r="281">
      <c r="A281" s="11">
        <f>IF(B281="","","P"&amp;TEXT(ROW()-1,"000"))</f>
        <v/>
      </c>
      <c r="B281" s="12" t="n"/>
      <c r="C281" s="13" t="n"/>
      <c r="D281" s="14" t="n"/>
      <c r="E281" s="15" t="n"/>
      <c r="F281" s="12" t="n"/>
      <c r="G281" s="16">
        <f>IF(B281="","",D281-SUMIFS(Pagos!$H:$H,Pagos!$B:$B,A281))</f>
        <v/>
      </c>
      <c r="H281" s="16">
        <f>IF(B281="","",SUMIFS(Pagos!$E:$E,Pagos!$B:$B,A281))</f>
        <v/>
      </c>
      <c r="I281" s="16">
        <f>IF(B281="","",SUMIFS(Pagos!$G:$G,Pagos!$B:$B,A281))</f>
        <v/>
      </c>
      <c r="J281" s="17">
        <f>IF(B281="","",IF(COUNTIF(Pagos!$B:$B,A281)=0,"",_xlfn.MAXIFS(Pagos!$D:$D,Pagos!$B:$B,A281)))</f>
        <v/>
      </c>
      <c r="K281" s="11">
        <f>IF(B281="","",IF(J281="",TODAY()-C281,TODAY()-J281))</f>
        <v/>
      </c>
      <c r="L281" s="11">
        <f>IF(B281="","",IF(F281="Diario",1,IF(F281="Semanal",7,IF(F281="Quincenal",15,IF(F281="Mensual",30,30))))+Resumen!$B$2)</f>
        <v/>
      </c>
      <c r="M281" s="11">
        <f>IF(B281="","",IF(G281&lt;=0,"Pagado",IF(K281&gt;L281,"Atrasado","Al dia")))</f>
        <v/>
      </c>
    </row>
    <row r="282">
      <c r="A282" s="11">
        <f>IF(B282="","","P"&amp;TEXT(ROW()-1,"000"))</f>
        <v/>
      </c>
      <c r="B282" s="12" t="n"/>
      <c r="C282" s="13" t="n"/>
      <c r="D282" s="14" t="n"/>
      <c r="E282" s="15" t="n"/>
      <c r="F282" s="12" t="n"/>
      <c r="G282" s="16">
        <f>IF(B282="","",D282-SUMIFS(Pagos!$H:$H,Pagos!$B:$B,A282))</f>
        <v/>
      </c>
      <c r="H282" s="16">
        <f>IF(B282="","",SUMIFS(Pagos!$E:$E,Pagos!$B:$B,A282))</f>
        <v/>
      </c>
      <c r="I282" s="16">
        <f>IF(B282="","",SUMIFS(Pagos!$G:$G,Pagos!$B:$B,A282))</f>
        <v/>
      </c>
      <c r="J282" s="17">
        <f>IF(B282="","",IF(COUNTIF(Pagos!$B:$B,A282)=0,"",_xlfn.MAXIFS(Pagos!$D:$D,Pagos!$B:$B,A282)))</f>
        <v/>
      </c>
      <c r="K282" s="11">
        <f>IF(B282="","",IF(J282="",TODAY()-C282,TODAY()-J282))</f>
        <v/>
      </c>
      <c r="L282" s="11">
        <f>IF(B282="","",IF(F282="Diario",1,IF(F282="Semanal",7,IF(F282="Quincenal",15,IF(F282="Mensual",30,30))))+Resumen!$B$2)</f>
        <v/>
      </c>
      <c r="M282" s="11">
        <f>IF(B282="","",IF(G282&lt;=0,"Pagado",IF(K282&gt;L282,"Atrasado","Al dia")))</f>
        <v/>
      </c>
    </row>
    <row r="283">
      <c r="A283" s="11">
        <f>IF(B283="","","P"&amp;TEXT(ROW()-1,"000"))</f>
        <v/>
      </c>
      <c r="B283" s="12" t="n"/>
      <c r="C283" s="13" t="n"/>
      <c r="D283" s="14" t="n"/>
      <c r="E283" s="15" t="n"/>
      <c r="F283" s="12" t="n"/>
      <c r="G283" s="16">
        <f>IF(B283="","",D283-SUMIFS(Pagos!$H:$H,Pagos!$B:$B,A283))</f>
        <v/>
      </c>
      <c r="H283" s="16">
        <f>IF(B283="","",SUMIFS(Pagos!$E:$E,Pagos!$B:$B,A283))</f>
        <v/>
      </c>
      <c r="I283" s="16">
        <f>IF(B283="","",SUMIFS(Pagos!$G:$G,Pagos!$B:$B,A283))</f>
        <v/>
      </c>
      <c r="J283" s="17">
        <f>IF(B283="","",IF(COUNTIF(Pagos!$B:$B,A283)=0,"",_xlfn.MAXIFS(Pagos!$D:$D,Pagos!$B:$B,A283)))</f>
        <v/>
      </c>
      <c r="K283" s="11">
        <f>IF(B283="","",IF(J283="",TODAY()-C283,TODAY()-J283))</f>
        <v/>
      </c>
      <c r="L283" s="11">
        <f>IF(B283="","",IF(F283="Diario",1,IF(F283="Semanal",7,IF(F283="Quincenal",15,IF(F283="Mensual",30,30))))+Resumen!$B$2)</f>
        <v/>
      </c>
      <c r="M283" s="11">
        <f>IF(B283="","",IF(G283&lt;=0,"Pagado",IF(K283&gt;L283,"Atrasado","Al dia")))</f>
        <v/>
      </c>
    </row>
    <row r="284">
      <c r="A284" s="11">
        <f>IF(B284="","","P"&amp;TEXT(ROW()-1,"000"))</f>
        <v/>
      </c>
      <c r="B284" s="12" t="n"/>
      <c r="C284" s="13" t="n"/>
      <c r="D284" s="14" t="n"/>
      <c r="E284" s="15" t="n"/>
      <c r="F284" s="12" t="n"/>
      <c r="G284" s="16">
        <f>IF(B284="","",D284-SUMIFS(Pagos!$H:$H,Pagos!$B:$B,A284))</f>
        <v/>
      </c>
      <c r="H284" s="16">
        <f>IF(B284="","",SUMIFS(Pagos!$E:$E,Pagos!$B:$B,A284))</f>
        <v/>
      </c>
      <c r="I284" s="16">
        <f>IF(B284="","",SUMIFS(Pagos!$G:$G,Pagos!$B:$B,A284))</f>
        <v/>
      </c>
      <c r="J284" s="17">
        <f>IF(B284="","",IF(COUNTIF(Pagos!$B:$B,A284)=0,"",_xlfn.MAXIFS(Pagos!$D:$D,Pagos!$B:$B,A284)))</f>
        <v/>
      </c>
      <c r="K284" s="11">
        <f>IF(B284="","",IF(J284="",TODAY()-C284,TODAY()-J284))</f>
        <v/>
      </c>
      <c r="L284" s="11">
        <f>IF(B284="","",IF(F284="Diario",1,IF(F284="Semanal",7,IF(F284="Quincenal",15,IF(F284="Mensual",30,30))))+Resumen!$B$2)</f>
        <v/>
      </c>
      <c r="M284" s="11">
        <f>IF(B284="","",IF(G284&lt;=0,"Pagado",IF(K284&gt;L284,"Atrasado","Al dia")))</f>
        <v/>
      </c>
    </row>
    <row r="285">
      <c r="A285" s="11">
        <f>IF(B285="","","P"&amp;TEXT(ROW()-1,"000"))</f>
        <v/>
      </c>
      <c r="B285" s="12" t="n"/>
      <c r="C285" s="13" t="n"/>
      <c r="D285" s="14" t="n"/>
      <c r="E285" s="15" t="n"/>
      <c r="F285" s="12" t="n"/>
      <c r="G285" s="16">
        <f>IF(B285="","",D285-SUMIFS(Pagos!$H:$H,Pagos!$B:$B,A285))</f>
        <v/>
      </c>
      <c r="H285" s="16">
        <f>IF(B285="","",SUMIFS(Pagos!$E:$E,Pagos!$B:$B,A285))</f>
        <v/>
      </c>
      <c r="I285" s="16">
        <f>IF(B285="","",SUMIFS(Pagos!$G:$G,Pagos!$B:$B,A285))</f>
        <v/>
      </c>
      <c r="J285" s="17">
        <f>IF(B285="","",IF(COUNTIF(Pagos!$B:$B,A285)=0,"",_xlfn.MAXIFS(Pagos!$D:$D,Pagos!$B:$B,A285)))</f>
        <v/>
      </c>
      <c r="K285" s="11">
        <f>IF(B285="","",IF(J285="",TODAY()-C285,TODAY()-J285))</f>
        <v/>
      </c>
      <c r="L285" s="11">
        <f>IF(B285="","",IF(F285="Diario",1,IF(F285="Semanal",7,IF(F285="Quincenal",15,IF(F285="Mensual",30,30))))+Resumen!$B$2)</f>
        <v/>
      </c>
      <c r="M285" s="11">
        <f>IF(B285="","",IF(G285&lt;=0,"Pagado",IF(K285&gt;L285,"Atrasado","Al dia")))</f>
        <v/>
      </c>
    </row>
    <row r="286">
      <c r="A286" s="11">
        <f>IF(B286="","","P"&amp;TEXT(ROW()-1,"000"))</f>
        <v/>
      </c>
      <c r="B286" s="12" t="n"/>
      <c r="C286" s="13" t="n"/>
      <c r="D286" s="14" t="n"/>
      <c r="E286" s="15" t="n"/>
      <c r="F286" s="12" t="n"/>
      <c r="G286" s="16">
        <f>IF(B286="","",D286-SUMIFS(Pagos!$H:$H,Pagos!$B:$B,A286))</f>
        <v/>
      </c>
      <c r="H286" s="16">
        <f>IF(B286="","",SUMIFS(Pagos!$E:$E,Pagos!$B:$B,A286))</f>
        <v/>
      </c>
      <c r="I286" s="16">
        <f>IF(B286="","",SUMIFS(Pagos!$G:$G,Pagos!$B:$B,A286))</f>
        <v/>
      </c>
      <c r="J286" s="17">
        <f>IF(B286="","",IF(COUNTIF(Pagos!$B:$B,A286)=0,"",_xlfn.MAXIFS(Pagos!$D:$D,Pagos!$B:$B,A286)))</f>
        <v/>
      </c>
      <c r="K286" s="11">
        <f>IF(B286="","",IF(J286="",TODAY()-C286,TODAY()-J286))</f>
        <v/>
      </c>
      <c r="L286" s="11">
        <f>IF(B286="","",IF(F286="Diario",1,IF(F286="Semanal",7,IF(F286="Quincenal",15,IF(F286="Mensual",30,30))))+Resumen!$B$2)</f>
        <v/>
      </c>
      <c r="M286" s="11">
        <f>IF(B286="","",IF(G286&lt;=0,"Pagado",IF(K286&gt;L286,"Atrasado","Al dia")))</f>
        <v/>
      </c>
    </row>
    <row r="287">
      <c r="A287" s="11">
        <f>IF(B287="","","P"&amp;TEXT(ROW()-1,"000"))</f>
        <v/>
      </c>
      <c r="B287" s="12" t="n"/>
      <c r="C287" s="13" t="n"/>
      <c r="D287" s="14" t="n"/>
      <c r="E287" s="15" t="n"/>
      <c r="F287" s="12" t="n"/>
      <c r="G287" s="16">
        <f>IF(B287="","",D287-SUMIFS(Pagos!$H:$H,Pagos!$B:$B,A287))</f>
        <v/>
      </c>
      <c r="H287" s="16">
        <f>IF(B287="","",SUMIFS(Pagos!$E:$E,Pagos!$B:$B,A287))</f>
        <v/>
      </c>
      <c r="I287" s="16">
        <f>IF(B287="","",SUMIFS(Pagos!$G:$G,Pagos!$B:$B,A287))</f>
        <v/>
      </c>
      <c r="J287" s="17">
        <f>IF(B287="","",IF(COUNTIF(Pagos!$B:$B,A287)=0,"",_xlfn.MAXIFS(Pagos!$D:$D,Pagos!$B:$B,A287)))</f>
        <v/>
      </c>
      <c r="K287" s="11">
        <f>IF(B287="","",IF(J287="",TODAY()-C287,TODAY()-J287))</f>
        <v/>
      </c>
      <c r="L287" s="11">
        <f>IF(B287="","",IF(F287="Diario",1,IF(F287="Semanal",7,IF(F287="Quincenal",15,IF(F287="Mensual",30,30))))+Resumen!$B$2)</f>
        <v/>
      </c>
      <c r="M287" s="11">
        <f>IF(B287="","",IF(G287&lt;=0,"Pagado",IF(K287&gt;L287,"Atrasado","Al dia")))</f>
        <v/>
      </c>
    </row>
    <row r="288">
      <c r="A288" s="11">
        <f>IF(B288="","","P"&amp;TEXT(ROW()-1,"000"))</f>
        <v/>
      </c>
      <c r="B288" s="12" t="n"/>
      <c r="C288" s="13" t="n"/>
      <c r="D288" s="14" t="n"/>
      <c r="E288" s="15" t="n"/>
      <c r="F288" s="12" t="n"/>
      <c r="G288" s="16">
        <f>IF(B288="","",D288-SUMIFS(Pagos!$H:$H,Pagos!$B:$B,A288))</f>
        <v/>
      </c>
      <c r="H288" s="16">
        <f>IF(B288="","",SUMIFS(Pagos!$E:$E,Pagos!$B:$B,A288))</f>
        <v/>
      </c>
      <c r="I288" s="16">
        <f>IF(B288="","",SUMIFS(Pagos!$G:$G,Pagos!$B:$B,A288))</f>
        <v/>
      </c>
      <c r="J288" s="17">
        <f>IF(B288="","",IF(COUNTIF(Pagos!$B:$B,A288)=0,"",_xlfn.MAXIFS(Pagos!$D:$D,Pagos!$B:$B,A288)))</f>
        <v/>
      </c>
      <c r="K288" s="11">
        <f>IF(B288="","",IF(J288="",TODAY()-C288,TODAY()-J288))</f>
        <v/>
      </c>
      <c r="L288" s="11">
        <f>IF(B288="","",IF(F288="Diario",1,IF(F288="Semanal",7,IF(F288="Quincenal",15,IF(F288="Mensual",30,30))))+Resumen!$B$2)</f>
        <v/>
      </c>
      <c r="M288" s="11">
        <f>IF(B288="","",IF(G288&lt;=0,"Pagado",IF(K288&gt;L288,"Atrasado","Al dia")))</f>
        <v/>
      </c>
    </row>
    <row r="289">
      <c r="A289" s="11">
        <f>IF(B289="","","P"&amp;TEXT(ROW()-1,"000"))</f>
        <v/>
      </c>
      <c r="B289" s="12" t="n"/>
      <c r="C289" s="13" t="n"/>
      <c r="D289" s="14" t="n"/>
      <c r="E289" s="15" t="n"/>
      <c r="F289" s="12" t="n"/>
      <c r="G289" s="16">
        <f>IF(B289="","",D289-SUMIFS(Pagos!$H:$H,Pagos!$B:$B,A289))</f>
        <v/>
      </c>
      <c r="H289" s="16">
        <f>IF(B289="","",SUMIFS(Pagos!$E:$E,Pagos!$B:$B,A289))</f>
        <v/>
      </c>
      <c r="I289" s="16">
        <f>IF(B289="","",SUMIFS(Pagos!$G:$G,Pagos!$B:$B,A289))</f>
        <v/>
      </c>
      <c r="J289" s="17">
        <f>IF(B289="","",IF(COUNTIF(Pagos!$B:$B,A289)=0,"",_xlfn.MAXIFS(Pagos!$D:$D,Pagos!$B:$B,A289)))</f>
        <v/>
      </c>
      <c r="K289" s="11">
        <f>IF(B289="","",IF(J289="",TODAY()-C289,TODAY()-J289))</f>
        <v/>
      </c>
      <c r="L289" s="11">
        <f>IF(B289="","",IF(F289="Diario",1,IF(F289="Semanal",7,IF(F289="Quincenal",15,IF(F289="Mensual",30,30))))+Resumen!$B$2)</f>
        <v/>
      </c>
      <c r="M289" s="11">
        <f>IF(B289="","",IF(G289&lt;=0,"Pagado",IF(K289&gt;L289,"Atrasado","Al dia")))</f>
        <v/>
      </c>
    </row>
    <row r="290">
      <c r="A290" s="11">
        <f>IF(B290="","","P"&amp;TEXT(ROW()-1,"000"))</f>
        <v/>
      </c>
      <c r="B290" s="12" t="n"/>
      <c r="C290" s="13" t="n"/>
      <c r="D290" s="14" t="n"/>
      <c r="E290" s="15" t="n"/>
      <c r="F290" s="12" t="n"/>
      <c r="G290" s="16">
        <f>IF(B290="","",D290-SUMIFS(Pagos!$H:$H,Pagos!$B:$B,A290))</f>
        <v/>
      </c>
      <c r="H290" s="16">
        <f>IF(B290="","",SUMIFS(Pagos!$E:$E,Pagos!$B:$B,A290))</f>
        <v/>
      </c>
      <c r="I290" s="16">
        <f>IF(B290="","",SUMIFS(Pagos!$G:$G,Pagos!$B:$B,A290))</f>
        <v/>
      </c>
      <c r="J290" s="17">
        <f>IF(B290="","",IF(COUNTIF(Pagos!$B:$B,A290)=0,"",_xlfn.MAXIFS(Pagos!$D:$D,Pagos!$B:$B,A290)))</f>
        <v/>
      </c>
      <c r="K290" s="11">
        <f>IF(B290="","",IF(J290="",TODAY()-C290,TODAY()-J290))</f>
        <v/>
      </c>
      <c r="L290" s="11">
        <f>IF(B290="","",IF(F290="Diario",1,IF(F290="Semanal",7,IF(F290="Quincenal",15,IF(F290="Mensual",30,30))))+Resumen!$B$2)</f>
        <v/>
      </c>
      <c r="M290" s="11">
        <f>IF(B290="","",IF(G290&lt;=0,"Pagado",IF(K290&gt;L290,"Atrasado","Al dia")))</f>
        <v/>
      </c>
    </row>
    <row r="291">
      <c r="A291" s="11">
        <f>IF(B291="","","P"&amp;TEXT(ROW()-1,"000"))</f>
        <v/>
      </c>
      <c r="B291" s="12" t="n"/>
      <c r="C291" s="13" t="n"/>
      <c r="D291" s="14" t="n"/>
      <c r="E291" s="15" t="n"/>
      <c r="F291" s="12" t="n"/>
      <c r="G291" s="16">
        <f>IF(B291="","",D291-SUMIFS(Pagos!$H:$H,Pagos!$B:$B,A291))</f>
        <v/>
      </c>
      <c r="H291" s="16">
        <f>IF(B291="","",SUMIFS(Pagos!$E:$E,Pagos!$B:$B,A291))</f>
        <v/>
      </c>
      <c r="I291" s="16">
        <f>IF(B291="","",SUMIFS(Pagos!$G:$G,Pagos!$B:$B,A291))</f>
        <v/>
      </c>
      <c r="J291" s="17">
        <f>IF(B291="","",IF(COUNTIF(Pagos!$B:$B,A291)=0,"",_xlfn.MAXIFS(Pagos!$D:$D,Pagos!$B:$B,A291)))</f>
        <v/>
      </c>
      <c r="K291" s="11">
        <f>IF(B291="","",IF(J291="",TODAY()-C291,TODAY()-J291))</f>
        <v/>
      </c>
      <c r="L291" s="11">
        <f>IF(B291="","",IF(F291="Diario",1,IF(F291="Semanal",7,IF(F291="Quincenal",15,IF(F291="Mensual",30,30))))+Resumen!$B$2)</f>
        <v/>
      </c>
      <c r="M291" s="11">
        <f>IF(B291="","",IF(G291&lt;=0,"Pagado",IF(K291&gt;L291,"Atrasado","Al dia")))</f>
        <v/>
      </c>
    </row>
    <row r="292">
      <c r="A292" s="11">
        <f>IF(B292="","","P"&amp;TEXT(ROW()-1,"000"))</f>
        <v/>
      </c>
      <c r="B292" s="12" t="n"/>
      <c r="C292" s="13" t="n"/>
      <c r="D292" s="14" t="n"/>
      <c r="E292" s="15" t="n"/>
      <c r="F292" s="12" t="n"/>
      <c r="G292" s="16">
        <f>IF(B292="","",D292-SUMIFS(Pagos!$H:$H,Pagos!$B:$B,A292))</f>
        <v/>
      </c>
      <c r="H292" s="16">
        <f>IF(B292="","",SUMIFS(Pagos!$E:$E,Pagos!$B:$B,A292))</f>
        <v/>
      </c>
      <c r="I292" s="16">
        <f>IF(B292="","",SUMIFS(Pagos!$G:$G,Pagos!$B:$B,A292))</f>
        <v/>
      </c>
      <c r="J292" s="17">
        <f>IF(B292="","",IF(COUNTIF(Pagos!$B:$B,A292)=0,"",_xlfn.MAXIFS(Pagos!$D:$D,Pagos!$B:$B,A292)))</f>
        <v/>
      </c>
      <c r="K292" s="11">
        <f>IF(B292="","",IF(J292="",TODAY()-C292,TODAY()-J292))</f>
        <v/>
      </c>
      <c r="L292" s="11">
        <f>IF(B292="","",IF(F292="Diario",1,IF(F292="Semanal",7,IF(F292="Quincenal",15,IF(F292="Mensual",30,30))))+Resumen!$B$2)</f>
        <v/>
      </c>
      <c r="M292" s="11">
        <f>IF(B292="","",IF(G292&lt;=0,"Pagado",IF(K292&gt;L292,"Atrasado","Al dia")))</f>
        <v/>
      </c>
    </row>
    <row r="293">
      <c r="A293" s="11">
        <f>IF(B293="","","P"&amp;TEXT(ROW()-1,"000"))</f>
        <v/>
      </c>
      <c r="B293" s="12" t="n"/>
      <c r="C293" s="13" t="n"/>
      <c r="D293" s="14" t="n"/>
      <c r="E293" s="15" t="n"/>
      <c r="F293" s="12" t="n"/>
      <c r="G293" s="16">
        <f>IF(B293="","",D293-SUMIFS(Pagos!$H:$H,Pagos!$B:$B,A293))</f>
        <v/>
      </c>
      <c r="H293" s="16">
        <f>IF(B293="","",SUMIFS(Pagos!$E:$E,Pagos!$B:$B,A293))</f>
        <v/>
      </c>
      <c r="I293" s="16">
        <f>IF(B293="","",SUMIFS(Pagos!$G:$G,Pagos!$B:$B,A293))</f>
        <v/>
      </c>
      <c r="J293" s="17">
        <f>IF(B293="","",IF(COUNTIF(Pagos!$B:$B,A293)=0,"",_xlfn.MAXIFS(Pagos!$D:$D,Pagos!$B:$B,A293)))</f>
        <v/>
      </c>
      <c r="K293" s="11">
        <f>IF(B293="","",IF(J293="",TODAY()-C293,TODAY()-J293))</f>
        <v/>
      </c>
      <c r="L293" s="11">
        <f>IF(B293="","",IF(F293="Diario",1,IF(F293="Semanal",7,IF(F293="Quincenal",15,IF(F293="Mensual",30,30))))+Resumen!$B$2)</f>
        <v/>
      </c>
      <c r="M293" s="11">
        <f>IF(B293="","",IF(G293&lt;=0,"Pagado",IF(K293&gt;L293,"Atrasado","Al dia")))</f>
        <v/>
      </c>
    </row>
    <row r="294">
      <c r="A294" s="11">
        <f>IF(B294="","","P"&amp;TEXT(ROW()-1,"000"))</f>
        <v/>
      </c>
      <c r="B294" s="12" t="n"/>
      <c r="C294" s="13" t="n"/>
      <c r="D294" s="14" t="n"/>
      <c r="E294" s="15" t="n"/>
      <c r="F294" s="12" t="n"/>
      <c r="G294" s="16">
        <f>IF(B294="","",D294-SUMIFS(Pagos!$H:$H,Pagos!$B:$B,A294))</f>
        <v/>
      </c>
      <c r="H294" s="16">
        <f>IF(B294="","",SUMIFS(Pagos!$E:$E,Pagos!$B:$B,A294))</f>
        <v/>
      </c>
      <c r="I294" s="16">
        <f>IF(B294="","",SUMIFS(Pagos!$G:$G,Pagos!$B:$B,A294))</f>
        <v/>
      </c>
      <c r="J294" s="17">
        <f>IF(B294="","",IF(COUNTIF(Pagos!$B:$B,A294)=0,"",_xlfn.MAXIFS(Pagos!$D:$D,Pagos!$B:$B,A294)))</f>
        <v/>
      </c>
      <c r="K294" s="11">
        <f>IF(B294="","",IF(J294="",TODAY()-C294,TODAY()-J294))</f>
        <v/>
      </c>
      <c r="L294" s="11">
        <f>IF(B294="","",IF(F294="Diario",1,IF(F294="Semanal",7,IF(F294="Quincenal",15,IF(F294="Mensual",30,30))))+Resumen!$B$2)</f>
        <v/>
      </c>
      <c r="M294" s="11">
        <f>IF(B294="","",IF(G294&lt;=0,"Pagado",IF(K294&gt;L294,"Atrasado","Al dia")))</f>
        <v/>
      </c>
    </row>
    <row r="295">
      <c r="A295" s="11">
        <f>IF(B295="","","P"&amp;TEXT(ROW()-1,"000"))</f>
        <v/>
      </c>
      <c r="B295" s="12" t="n"/>
      <c r="C295" s="13" t="n"/>
      <c r="D295" s="14" t="n"/>
      <c r="E295" s="15" t="n"/>
      <c r="F295" s="12" t="n"/>
      <c r="G295" s="16">
        <f>IF(B295="","",D295-SUMIFS(Pagos!$H:$H,Pagos!$B:$B,A295))</f>
        <v/>
      </c>
      <c r="H295" s="16">
        <f>IF(B295="","",SUMIFS(Pagos!$E:$E,Pagos!$B:$B,A295))</f>
        <v/>
      </c>
      <c r="I295" s="16">
        <f>IF(B295="","",SUMIFS(Pagos!$G:$G,Pagos!$B:$B,A295))</f>
        <v/>
      </c>
      <c r="J295" s="17">
        <f>IF(B295="","",IF(COUNTIF(Pagos!$B:$B,A295)=0,"",_xlfn.MAXIFS(Pagos!$D:$D,Pagos!$B:$B,A295)))</f>
        <v/>
      </c>
      <c r="K295" s="11">
        <f>IF(B295="","",IF(J295="",TODAY()-C295,TODAY()-J295))</f>
        <v/>
      </c>
      <c r="L295" s="11">
        <f>IF(B295="","",IF(F295="Diario",1,IF(F295="Semanal",7,IF(F295="Quincenal",15,IF(F295="Mensual",30,30))))+Resumen!$B$2)</f>
        <v/>
      </c>
      <c r="M295" s="11">
        <f>IF(B295="","",IF(G295&lt;=0,"Pagado",IF(K295&gt;L295,"Atrasado","Al dia")))</f>
        <v/>
      </c>
    </row>
    <row r="296">
      <c r="A296" s="11">
        <f>IF(B296="","","P"&amp;TEXT(ROW()-1,"000"))</f>
        <v/>
      </c>
      <c r="B296" s="12" t="n"/>
      <c r="C296" s="13" t="n"/>
      <c r="D296" s="14" t="n"/>
      <c r="E296" s="15" t="n"/>
      <c r="F296" s="12" t="n"/>
      <c r="G296" s="16">
        <f>IF(B296="","",D296-SUMIFS(Pagos!$H:$H,Pagos!$B:$B,A296))</f>
        <v/>
      </c>
      <c r="H296" s="16">
        <f>IF(B296="","",SUMIFS(Pagos!$E:$E,Pagos!$B:$B,A296))</f>
        <v/>
      </c>
      <c r="I296" s="16">
        <f>IF(B296="","",SUMIFS(Pagos!$G:$G,Pagos!$B:$B,A296))</f>
        <v/>
      </c>
      <c r="J296" s="17">
        <f>IF(B296="","",IF(COUNTIF(Pagos!$B:$B,A296)=0,"",_xlfn.MAXIFS(Pagos!$D:$D,Pagos!$B:$B,A296)))</f>
        <v/>
      </c>
      <c r="K296" s="11">
        <f>IF(B296="","",IF(J296="",TODAY()-C296,TODAY()-J296))</f>
        <v/>
      </c>
      <c r="L296" s="11">
        <f>IF(B296="","",IF(F296="Diario",1,IF(F296="Semanal",7,IF(F296="Quincenal",15,IF(F296="Mensual",30,30))))+Resumen!$B$2)</f>
        <v/>
      </c>
      <c r="M296" s="11">
        <f>IF(B296="","",IF(G296&lt;=0,"Pagado",IF(K296&gt;L296,"Atrasado","Al dia")))</f>
        <v/>
      </c>
    </row>
    <row r="297">
      <c r="A297" s="11">
        <f>IF(B297="","","P"&amp;TEXT(ROW()-1,"000"))</f>
        <v/>
      </c>
      <c r="B297" s="12" t="n"/>
      <c r="C297" s="13" t="n"/>
      <c r="D297" s="14" t="n"/>
      <c r="E297" s="15" t="n"/>
      <c r="F297" s="12" t="n"/>
      <c r="G297" s="16">
        <f>IF(B297="","",D297-SUMIFS(Pagos!$H:$H,Pagos!$B:$B,A297))</f>
        <v/>
      </c>
      <c r="H297" s="16">
        <f>IF(B297="","",SUMIFS(Pagos!$E:$E,Pagos!$B:$B,A297))</f>
        <v/>
      </c>
      <c r="I297" s="16">
        <f>IF(B297="","",SUMIFS(Pagos!$G:$G,Pagos!$B:$B,A297))</f>
        <v/>
      </c>
      <c r="J297" s="17">
        <f>IF(B297="","",IF(COUNTIF(Pagos!$B:$B,A297)=0,"",_xlfn.MAXIFS(Pagos!$D:$D,Pagos!$B:$B,A297)))</f>
        <v/>
      </c>
      <c r="K297" s="11">
        <f>IF(B297="","",IF(J297="",TODAY()-C297,TODAY()-J297))</f>
        <v/>
      </c>
      <c r="L297" s="11">
        <f>IF(B297="","",IF(F297="Diario",1,IF(F297="Semanal",7,IF(F297="Quincenal",15,IF(F297="Mensual",30,30))))+Resumen!$B$2)</f>
        <v/>
      </c>
      <c r="M297" s="11">
        <f>IF(B297="","",IF(G297&lt;=0,"Pagado",IF(K297&gt;L297,"Atrasado","Al dia")))</f>
        <v/>
      </c>
    </row>
    <row r="298">
      <c r="A298" s="11">
        <f>IF(B298="","","P"&amp;TEXT(ROW()-1,"000"))</f>
        <v/>
      </c>
      <c r="B298" s="12" t="n"/>
      <c r="C298" s="13" t="n"/>
      <c r="D298" s="14" t="n"/>
      <c r="E298" s="15" t="n"/>
      <c r="F298" s="12" t="n"/>
      <c r="G298" s="16">
        <f>IF(B298="","",D298-SUMIFS(Pagos!$H:$H,Pagos!$B:$B,A298))</f>
        <v/>
      </c>
      <c r="H298" s="16">
        <f>IF(B298="","",SUMIFS(Pagos!$E:$E,Pagos!$B:$B,A298))</f>
        <v/>
      </c>
      <c r="I298" s="16">
        <f>IF(B298="","",SUMIFS(Pagos!$G:$G,Pagos!$B:$B,A298))</f>
        <v/>
      </c>
      <c r="J298" s="17">
        <f>IF(B298="","",IF(COUNTIF(Pagos!$B:$B,A298)=0,"",_xlfn.MAXIFS(Pagos!$D:$D,Pagos!$B:$B,A298)))</f>
        <v/>
      </c>
      <c r="K298" s="11">
        <f>IF(B298="","",IF(J298="",TODAY()-C298,TODAY()-J298))</f>
        <v/>
      </c>
      <c r="L298" s="11">
        <f>IF(B298="","",IF(F298="Diario",1,IF(F298="Semanal",7,IF(F298="Quincenal",15,IF(F298="Mensual",30,30))))+Resumen!$B$2)</f>
        <v/>
      </c>
      <c r="M298" s="11">
        <f>IF(B298="","",IF(G298&lt;=0,"Pagado",IF(K298&gt;L298,"Atrasado","Al dia")))</f>
        <v/>
      </c>
    </row>
    <row r="299">
      <c r="A299" s="11">
        <f>IF(B299="","","P"&amp;TEXT(ROW()-1,"000"))</f>
        <v/>
      </c>
      <c r="B299" s="12" t="n"/>
      <c r="C299" s="13" t="n"/>
      <c r="D299" s="14" t="n"/>
      <c r="E299" s="15" t="n"/>
      <c r="F299" s="12" t="n"/>
      <c r="G299" s="16">
        <f>IF(B299="","",D299-SUMIFS(Pagos!$H:$H,Pagos!$B:$B,A299))</f>
        <v/>
      </c>
      <c r="H299" s="16">
        <f>IF(B299="","",SUMIFS(Pagos!$E:$E,Pagos!$B:$B,A299))</f>
        <v/>
      </c>
      <c r="I299" s="16">
        <f>IF(B299="","",SUMIFS(Pagos!$G:$G,Pagos!$B:$B,A299))</f>
        <v/>
      </c>
      <c r="J299" s="17">
        <f>IF(B299="","",IF(COUNTIF(Pagos!$B:$B,A299)=0,"",_xlfn.MAXIFS(Pagos!$D:$D,Pagos!$B:$B,A299)))</f>
        <v/>
      </c>
      <c r="K299" s="11">
        <f>IF(B299="","",IF(J299="",TODAY()-C299,TODAY()-J299))</f>
        <v/>
      </c>
      <c r="L299" s="11">
        <f>IF(B299="","",IF(F299="Diario",1,IF(F299="Semanal",7,IF(F299="Quincenal",15,IF(F299="Mensual",30,30))))+Resumen!$B$2)</f>
        <v/>
      </c>
      <c r="M299" s="11">
        <f>IF(B299="","",IF(G299&lt;=0,"Pagado",IF(K299&gt;L299,"Atrasado","Al dia")))</f>
        <v/>
      </c>
    </row>
    <row r="300">
      <c r="A300" s="11">
        <f>IF(B300="","","P"&amp;TEXT(ROW()-1,"000"))</f>
        <v/>
      </c>
      <c r="B300" s="12" t="n"/>
      <c r="C300" s="13" t="n"/>
      <c r="D300" s="14" t="n"/>
      <c r="E300" s="15" t="n"/>
      <c r="F300" s="12" t="n"/>
      <c r="G300" s="16">
        <f>IF(B300="","",D300-SUMIFS(Pagos!$H:$H,Pagos!$B:$B,A300))</f>
        <v/>
      </c>
      <c r="H300" s="16">
        <f>IF(B300="","",SUMIFS(Pagos!$E:$E,Pagos!$B:$B,A300))</f>
        <v/>
      </c>
      <c r="I300" s="16">
        <f>IF(B300="","",SUMIFS(Pagos!$G:$G,Pagos!$B:$B,A300))</f>
        <v/>
      </c>
      <c r="J300" s="17">
        <f>IF(B300="","",IF(COUNTIF(Pagos!$B:$B,A300)=0,"",_xlfn.MAXIFS(Pagos!$D:$D,Pagos!$B:$B,A300)))</f>
        <v/>
      </c>
      <c r="K300" s="11">
        <f>IF(B300="","",IF(J300="",TODAY()-C300,TODAY()-J300))</f>
        <v/>
      </c>
      <c r="L300" s="11">
        <f>IF(B300="","",IF(F300="Diario",1,IF(F300="Semanal",7,IF(F300="Quincenal",15,IF(F300="Mensual",30,30))))+Resumen!$B$2)</f>
        <v/>
      </c>
      <c r="M300" s="11">
        <f>IF(B300="","",IF(G300&lt;=0,"Pagado",IF(K300&gt;L300,"Atrasado","Al dia")))</f>
        <v/>
      </c>
    </row>
    <row r="301">
      <c r="A301" s="11">
        <f>IF(B301="","","P"&amp;TEXT(ROW()-1,"000"))</f>
        <v/>
      </c>
      <c r="B301" s="12" t="n"/>
      <c r="C301" s="13" t="n"/>
      <c r="D301" s="14" t="n"/>
      <c r="E301" s="15" t="n"/>
      <c r="F301" s="12" t="n"/>
      <c r="G301" s="16">
        <f>IF(B301="","",D301-SUMIFS(Pagos!$H:$H,Pagos!$B:$B,A301))</f>
        <v/>
      </c>
      <c r="H301" s="16">
        <f>IF(B301="","",SUMIFS(Pagos!$E:$E,Pagos!$B:$B,A301))</f>
        <v/>
      </c>
      <c r="I301" s="16">
        <f>IF(B301="","",SUMIFS(Pagos!$G:$G,Pagos!$B:$B,A301))</f>
        <v/>
      </c>
      <c r="J301" s="17">
        <f>IF(B301="","",IF(COUNTIF(Pagos!$B:$B,A301)=0,"",_xlfn.MAXIFS(Pagos!$D:$D,Pagos!$B:$B,A301)))</f>
        <v/>
      </c>
      <c r="K301" s="11">
        <f>IF(B301="","",IF(J301="",TODAY()-C301,TODAY()-J301))</f>
        <v/>
      </c>
      <c r="L301" s="11">
        <f>IF(B301="","",IF(F301="Diario",1,IF(F301="Semanal",7,IF(F301="Quincenal",15,IF(F301="Mensual",30,30))))+Resumen!$B$2)</f>
        <v/>
      </c>
      <c r="M301" s="11">
        <f>IF(B301="","",IF(G301&lt;=0,"Pagado",IF(K301&gt;L301,"Atrasado","Al dia")))</f>
        <v/>
      </c>
    </row>
    <row r="302">
      <c r="A302" s="11">
        <f>IF(B302="","","P"&amp;TEXT(ROW()-1,"000"))</f>
        <v/>
      </c>
      <c r="B302" s="12" t="n"/>
      <c r="C302" s="13" t="n"/>
      <c r="D302" s="14" t="n"/>
      <c r="E302" s="15" t="n"/>
      <c r="F302" s="12" t="n"/>
      <c r="G302" s="16">
        <f>IF(B302="","",D302-SUMIFS(Pagos!$H:$H,Pagos!$B:$B,A302))</f>
        <v/>
      </c>
      <c r="H302" s="16">
        <f>IF(B302="","",SUMIFS(Pagos!$E:$E,Pagos!$B:$B,A302))</f>
        <v/>
      </c>
      <c r="I302" s="16">
        <f>IF(B302="","",SUMIFS(Pagos!$G:$G,Pagos!$B:$B,A302))</f>
        <v/>
      </c>
      <c r="J302" s="17">
        <f>IF(B302="","",IF(COUNTIF(Pagos!$B:$B,A302)=0,"",_xlfn.MAXIFS(Pagos!$D:$D,Pagos!$B:$B,A302)))</f>
        <v/>
      </c>
      <c r="K302" s="11">
        <f>IF(B302="","",IF(J302="",TODAY()-C302,TODAY()-J302))</f>
        <v/>
      </c>
      <c r="L302" s="11">
        <f>IF(B302="","",IF(F302="Diario",1,IF(F302="Semanal",7,IF(F302="Quincenal",15,IF(F302="Mensual",30,30))))+Resumen!$B$2)</f>
        <v/>
      </c>
      <c r="M302" s="11">
        <f>IF(B302="","",IF(G302&lt;=0,"Pagado",IF(K302&gt;L302,"Atrasado","Al dia")))</f>
        <v/>
      </c>
    </row>
    <row r="303">
      <c r="A303" s="11">
        <f>IF(B303="","","P"&amp;TEXT(ROW()-1,"000"))</f>
        <v/>
      </c>
      <c r="B303" s="12" t="n"/>
      <c r="C303" s="13" t="n"/>
      <c r="D303" s="14" t="n"/>
      <c r="E303" s="15" t="n"/>
      <c r="F303" s="12" t="n"/>
      <c r="G303" s="16">
        <f>IF(B303="","",D303-SUMIFS(Pagos!$H:$H,Pagos!$B:$B,A303))</f>
        <v/>
      </c>
      <c r="H303" s="16">
        <f>IF(B303="","",SUMIFS(Pagos!$E:$E,Pagos!$B:$B,A303))</f>
        <v/>
      </c>
      <c r="I303" s="16">
        <f>IF(B303="","",SUMIFS(Pagos!$G:$G,Pagos!$B:$B,A303))</f>
        <v/>
      </c>
      <c r="J303" s="17">
        <f>IF(B303="","",IF(COUNTIF(Pagos!$B:$B,A303)=0,"",_xlfn.MAXIFS(Pagos!$D:$D,Pagos!$B:$B,A303)))</f>
        <v/>
      </c>
      <c r="K303" s="11">
        <f>IF(B303="","",IF(J303="",TODAY()-C303,TODAY()-J303))</f>
        <v/>
      </c>
      <c r="L303" s="11">
        <f>IF(B303="","",IF(F303="Diario",1,IF(F303="Semanal",7,IF(F303="Quincenal",15,IF(F303="Mensual",30,30))))+Resumen!$B$2)</f>
        <v/>
      </c>
      <c r="M303" s="11">
        <f>IF(B303="","",IF(G303&lt;=0,"Pagado",IF(K303&gt;L303,"Atrasado","Al dia")))</f>
        <v/>
      </c>
    </row>
    <row r="304">
      <c r="A304" s="11">
        <f>IF(B304="","","P"&amp;TEXT(ROW()-1,"000"))</f>
        <v/>
      </c>
      <c r="B304" s="12" t="n"/>
      <c r="C304" s="13" t="n"/>
      <c r="D304" s="14" t="n"/>
      <c r="E304" s="15" t="n"/>
      <c r="F304" s="12" t="n"/>
      <c r="G304" s="16">
        <f>IF(B304="","",D304-SUMIFS(Pagos!$H:$H,Pagos!$B:$B,A304))</f>
        <v/>
      </c>
      <c r="H304" s="16">
        <f>IF(B304="","",SUMIFS(Pagos!$E:$E,Pagos!$B:$B,A304))</f>
        <v/>
      </c>
      <c r="I304" s="16">
        <f>IF(B304="","",SUMIFS(Pagos!$G:$G,Pagos!$B:$B,A304))</f>
        <v/>
      </c>
      <c r="J304" s="17">
        <f>IF(B304="","",IF(COUNTIF(Pagos!$B:$B,A304)=0,"",_xlfn.MAXIFS(Pagos!$D:$D,Pagos!$B:$B,A304)))</f>
        <v/>
      </c>
      <c r="K304" s="11">
        <f>IF(B304="","",IF(J304="",TODAY()-C304,TODAY()-J304))</f>
        <v/>
      </c>
      <c r="L304" s="11">
        <f>IF(B304="","",IF(F304="Diario",1,IF(F304="Semanal",7,IF(F304="Quincenal",15,IF(F304="Mensual",30,30))))+Resumen!$B$2)</f>
        <v/>
      </c>
      <c r="M304" s="11">
        <f>IF(B304="","",IF(G304&lt;=0,"Pagado",IF(K304&gt;L304,"Atrasado","Al dia")))</f>
        <v/>
      </c>
    </row>
    <row r="305">
      <c r="A305" s="11">
        <f>IF(B305="","","P"&amp;TEXT(ROW()-1,"000"))</f>
        <v/>
      </c>
      <c r="B305" s="12" t="n"/>
      <c r="C305" s="13" t="n"/>
      <c r="D305" s="14" t="n"/>
      <c r="E305" s="15" t="n"/>
      <c r="F305" s="12" t="n"/>
      <c r="G305" s="16">
        <f>IF(B305="","",D305-SUMIFS(Pagos!$H:$H,Pagos!$B:$B,A305))</f>
        <v/>
      </c>
      <c r="H305" s="16">
        <f>IF(B305="","",SUMIFS(Pagos!$E:$E,Pagos!$B:$B,A305))</f>
        <v/>
      </c>
      <c r="I305" s="16">
        <f>IF(B305="","",SUMIFS(Pagos!$G:$G,Pagos!$B:$B,A305))</f>
        <v/>
      </c>
      <c r="J305" s="17">
        <f>IF(B305="","",IF(COUNTIF(Pagos!$B:$B,A305)=0,"",_xlfn.MAXIFS(Pagos!$D:$D,Pagos!$B:$B,A305)))</f>
        <v/>
      </c>
      <c r="K305" s="11">
        <f>IF(B305="","",IF(J305="",TODAY()-C305,TODAY()-J305))</f>
        <v/>
      </c>
      <c r="L305" s="11">
        <f>IF(B305="","",IF(F305="Diario",1,IF(F305="Semanal",7,IF(F305="Quincenal",15,IF(F305="Mensual",30,30))))+Resumen!$B$2)</f>
        <v/>
      </c>
      <c r="M305" s="11">
        <f>IF(B305="","",IF(G305&lt;=0,"Pagado",IF(K305&gt;L305,"Atrasado","Al dia")))</f>
        <v/>
      </c>
    </row>
    <row r="306">
      <c r="A306" s="11">
        <f>IF(B306="","","P"&amp;TEXT(ROW()-1,"000"))</f>
        <v/>
      </c>
      <c r="B306" s="12" t="n"/>
      <c r="C306" s="13" t="n"/>
      <c r="D306" s="14" t="n"/>
      <c r="E306" s="15" t="n"/>
      <c r="F306" s="12" t="n"/>
      <c r="G306" s="16">
        <f>IF(B306="","",D306-SUMIFS(Pagos!$H:$H,Pagos!$B:$B,A306))</f>
        <v/>
      </c>
      <c r="H306" s="16">
        <f>IF(B306="","",SUMIFS(Pagos!$E:$E,Pagos!$B:$B,A306))</f>
        <v/>
      </c>
      <c r="I306" s="16">
        <f>IF(B306="","",SUMIFS(Pagos!$G:$G,Pagos!$B:$B,A306))</f>
        <v/>
      </c>
      <c r="J306" s="17">
        <f>IF(B306="","",IF(COUNTIF(Pagos!$B:$B,A306)=0,"",_xlfn.MAXIFS(Pagos!$D:$D,Pagos!$B:$B,A306)))</f>
        <v/>
      </c>
      <c r="K306" s="11">
        <f>IF(B306="","",IF(J306="",TODAY()-C306,TODAY()-J306))</f>
        <v/>
      </c>
      <c r="L306" s="11">
        <f>IF(B306="","",IF(F306="Diario",1,IF(F306="Semanal",7,IF(F306="Quincenal",15,IF(F306="Mensual",30,30))))+Resumen!$B$2)</f>
        <v/>
      </c>
      <c r="M306" s="11">
        <f>IF(B306="","",IF(G306&lt;=0,"Pagado",IF(K306&gt;L306,"Atrasado","Al dia")))</f>
        <v/>
      </c>
    </row>
    <row r="307">
      <c r="A307" s="11">
        <f>IF(B307="","","P"&amp;TEXT(ROW()-1,"000"))</f>
        <v/>
      </c>
      <c r="B307" s="12" t="n"/>
      <c r="C307" s="13" t="n"/>
      <c r="D307" s="14" t="n"/>
      <c r="E307" s="15" t="n"/>
      <c r="F307" s="12" t="n"/>
      <c r="G307" s="16">
        <f>IF(B307="","",D307-SUMIFS(Pagos!$H:$H,Pagos!$B:$B,A307))</f>
        <v/>
      </c>
      <c r="H307" s="16">
        <f>IF(B307="","",SUMIFS(Pagos!$E:$E,Pagos!$B:$B,A307))</f>
        <v/>
      </c>
      <c r="I307" s="16">
        <f>IF(B307="","",SUMIFS(Pagos!$G:$G,Pagos!$B:$B,A307))</f>
        <v/>
      </c>
      <c r="J307" s="17">
        <f>IF(B307="","",IF(COUNTIF(Pagos!$B:$B,A307)=0,"",_xlfn.MAXIFS(Pagos!$D:$D,Pagos!$B:$B,A307)))</f>
        <v/>
      </c>
      <c r="K307" s="11">
        <f>IF(B307="","",IF(J307="",TODAY()-C307,TODAY()-J307))</f>
        <v/>
      </c>
      <c r="L307" s="11">
        <f>IF(B307="","",IF(F307="Diario",1,IF(F307="Semanal",7,IF(F307="Quincenal",15,IF(F307="Mensual",30,30))))+Resumen!$B$2)</f>
        <v/>
      </c>
      <c r="M307" s="11">
        <f>IF(B307="","",IF(G307&lt;=0,"Pagado",IF(K307&gt;L307,"Atrasado","Al dia")))</f>
        <v/>
      </c>
    </row>
    <row r="308">
      <c r="A308" s="11">
        <f>IF(B308="","","P"&amp;TEXT(ROW()-1,"000"))</f>
        <v/>
      </c>
      <c r="B308" s="12" t="n"/>
      <c r="C308" s="13" t="n"/>
      <c r="D308" s="14" t="n"/>
      <c r="E308" s="15" t="n"/>
      <c r="F308" s="12" t="n"/>
      <c r="G308" s="16">
        <f>IF(B308="","",D308-SUMIFS(Pagos!$H:$H,Pagos!$B:$B,A308))</f>
        <v/>
      </c>
      <c r="H308" s="16">
        <f>IF(B308="","",SUMIFS(Pagos!$E:$E,Pagos!$B:$B,A308))</f>
        <v/>
      </c>
      <c r="I308" s="16">
        <f>IF(B308="","",SUMIFS(Pagos!$G:$G,Pagos!$B:$B,A308))</f>
        <v/>
      </c>
      <c r="J308" s="17">
        <f>IF(B308="","",IF(COUNTIF(Pagos!$B:$B,A308)=0,"",_xlfn.MAXIFS(Pagos!$D:$D,Pagos!$B:$B,A308)))</f>
        <v/>
      </c>
      <c r="K308" s="11">
        <f>IF(B308="","",IF(J308="",TODAY()-C308,TODAY()-J308))</f>
        <v/>
      </c>
      <c r="L308" s="11">
        <f>IF(B308="","",IF(F308="Diario",1,IF(F308="Semanal",7,IF(F308="Quincenal",15,IF(F308="Mensual",30,30))))+Resumen!$B$2)</f>
        <v/>
      </c>
      <c r="M308" s="11">
        <f>IF(B308="","",IF(G308&lt;=0,"Pagado",IF(K308&gt;L308,"Atrasado","Al dia")))</f>
        <v/>
      </c>
    </row>
    <row r="309">
      <c r="A309" s="11">
        <f>IF(B309="","","P"&amp;TEXT(ROW()-1,"000"))</f>
        <v/>
      </c>
      <c r="B309" s="12" t="n"/>
      <c r="C309" s="13" t="n"/>
      <c r="D309" s="14" t="n"/>
      <c r="E309" s="15" t="n"/>
      <c r="F309" s="12" t="n"/>
      <c r="G309" s="16">
        <f>IF(B309="","",D309-SUMIFS(Pagos!$H:$H,Pagos!$B:$B,A309))</f>
        <v/>
      </c>
      <c r="H309" s="16">
        <f>IF(B309="","",SUMIFS(Pagos!$E:$E,Pagos!$B:$B,A309))</f>
        <v/>
      </c>
      <c r="I309" s="16">
        <f>IF(B309="","",SUMIFS(Pagos!$G:$G,Pagos!$B:$B,A309))</f>
        <v/>
      </c>
      <c r="J309" s="17">
        <f>IF(B309="","",IF(COUNTIF(Pagos!$B:$B,A309)=0,"",_xlfn.MAXIFS(Pagos!$D:$D,Pagos!$B:$B,A309)))</f>
        <v/>
      </c>
      <c r="K309" s="11">
        <f>IF(B309="","",IF(J309="",TODAY()-C309,TODAY()-J309))</f>
        <v/>
      </c>
      <c r="L309" s="11">
        <f>IF(B309="","",IF(F309="Diario",1,IF(F309="Semanal",7,IF(F309="Quincenal",15,IF(F309="Mensual",30,30))))+Resumen!$B$2)</f>
        <v/>
      </c>
      <c r="M309" s="11">
        <f>IF(B309="","",IF(G309&lt;=0,"Pagado",IF(K309&gt;L309,"Atrasado","Al dia")))</f>
        <v/>
      </c>
    </row>
    <row r="310">
      <c r="A310" s="11">
        <f>IF(B310="","","P"&amp;TEXT(ROW()-1,"000"))</f>
        <v/>
      </c>
      <c r="B310" s="12" t="n"/>
      <c r="C310" s="13" t="n"/>
      <c r="D310" s="14" t="n"/>
      <c r="E310" s="15" t="n"/>
      <c r="F310" s="12" t="n"/>
      <c r="G310" s="16">
        <f>IF(B310="","",D310-SUMIFS(Pagos!$H:$H,Pagos!$B:$B,A310))</f>
        <v/>
      </c>
      <c r="H310" s="16">
        <f>IF(B310="","",SUMIFS(Pagos!$E:$E,Pagos!$B:$B,A310))</f>
        <v/>
      </c>
      <c r="I310" s="16">
        <f>IF(B310="","",SUMIFS(Pagos!$G:$G,Pagos!$B:$B,A310))</f>
        <v/>
      </c>
      <c r="J310" s="17">
        <f>IF(B310="","",IF(COUNTIF(Pagos!$B:$B,A310)=0,"",_xlfn.MAXIFS(Pagos!$D:$D,Pagos!$B:$B,A310)))</f>
        <v/>
      </c>
      <c r="K310" s="11">
        <f>IF(B310="","",IF(J310="",TODAY()-C310,TODAY()-J310))</f>
        <v/>
      </c>
      <c r="L310" s="11">
        <f>IF(B310="","",IF(F310="Diario",1,IF(F310="Semanal",7,IF(F310="Quincenal",15,IF(F310="Mensual",30,30))))+Resumen!$B$2)</f>
        <v/>
      </c>
      <c r="M310" s="11">
        <f>IF(B310="","",IF(G310&lt;=0,"Pagado",IF(K310&gt;L310,"Atrasado","Al dia")))</f>
        <v/>
      </c>
    </row>
    <row r="311">
      <c r="A311" s="11">
        <f>IF(B311="","","P"&amp;TEXT(ROW()-1,"000"))</f>
        <v/>
      </c>
      <c r="B311" s="12" t="n"/>
      <c r="C311" s="13" t="n"/>
      <c r="D311" s="14" t="n"/>
      <c r="E311" s="15" t="n"/>
      <c r="F311" s="12" t="n"/>
      <c r="G311" s="16">
        <f>IF(B311="","",D311-SUMIFS(Pagos!$H:$H,Pagos!$B:$B,A311))</f>
        <v/>
      </c>
      <c r="H311" s="16">
        <f>IF(B311="","",SUMIFS(Pagos!$E:$E,Pagos!$B:$B,A311))</f>
        <v/>
      </c>
      <c r="I311" s="16">
        <f>IF(B311="","",SUMIFS(Pagos!$G:$G,Pagos!$B:$B,A311))</f>
        <v/>
      </c>
      <c r="J311" s="17">
        <f>IF(B311="","",IF(COUNTIF(Pagos!$B:$B,A311)=0,"",_xlfn.MAXIFS(Pagos!$D:$D,Pagos!$B:$B,A311)))</f>
        <v/>
      </c>
      <c r="K311" s="11">
        <f>IF(B311="","",IF(J311="",TODAY()-C311,TODAY()-J311))</f>
        <v/>
      </c>
      <c r="L311" s="11">
        <f>IF(B311="","",IF(F311="Diario",1,IF(F311="Semanal",7,IF(F311="Quincenal",15,IF(F311="Mensual",30,30))))+Resumen!$B$2)</f>
        <v/>
      </c>
      <c r="M311" s="11">
        <f>IF(B311="","",IF(G311&lt;=0,"Pagado",IF(K311&gt;L311,"Atrasado","Al dia")))</f>
        <v/>
      </c>
    </row>
    <row r="312">
      <c r="A312" s="11">
        <f>IF(B312="","","P"&amp;TEXT(ROW()-1,"000"))</f>
        <v/>
      </c>
      <c r="B312" s="12" t="n"/>
      <c r="C312" s="13" t="n"/>
      <c r="D312" s="14" t="n"/>
      <c r="E312" s="15" t="n"/>
      <c r="F312" s="12" t="n"/>
      <c r="G312" s="16">
        <f>IF(B312="","",D312-SUMIFS(Pagos!$H:$H,Pagos!$B:$B,A312))</f>
        <v/>
      </c>
      <c r="H312" s="16">
        <f>IF(B312="","",SUMIFS(Pagos!$E:$E,Pagos!$B:$B,A312))</f>
        <v/>
      </c>
      <c r="I312" s="16">
        <f>IF(B312="","",SUMIFS(Pagos!$G:$G,Pagos!$B:$B,A312))</f>
        <v/>
      </c>
      <c r="J312" s="17">
        <f>IF(B312="","",IF(COUNTIF(Pagos!$B:$B,A312)=0,"",_xlfn.MAXIFS(Pagos!$D:$D,Pagos!$B:$B,A312)))</f>
        <v/>
      </c>
      <c r="K312" s="11">
        <f>IF(B312="","",IF(J312="",TODAY()-C312,TODAY()-J312))</f>
        <v/>
      </c>
      <c r="L312" s="11">
        <f>IF(B312="","",IF(F312="Diario",1,IF(F312="Semanal",7,IF(F312="Quincenal",15,IF(F312="Mensual",30,30))))+Resumen!$B$2)</f>
        <v/>
      </c>
      <c r="M312" s="11">
        <f>IF(B312="","",IF(G312&lt;=0,"Pagado",IF(K312&gt;L312,"Atrasado","Al dia")))</f>
        <v/>
      </c>
    </row>
    <row r="313">
      <c r="A313" s="11">
        <f>IF(B313="","","P"&amp;TEXT(ROW()-1,"000"))</f>
        <v/>
      </c>
      <c r="B313" s="12" t="n"/>
      <c r="C313" s="13" t="n"/>
      <c r="D313" s="14" t="n"/>
      <c r="E313" s="15" t="n"/>
      <c r="F313" s="12" t="n"/>
      <c r="G313" s="16">
        <f>IF(B313="","",D313-SUMIFS(Pagos!$H:$H,Pagos!$B:$B,A313))</f>
        <v/>
      </c>
      <c r="H313" s="16">
        <f>IF(B313="","",SUMIFS(Pagos!$E:$E,Pagos!$B:$B,A313))</f>
        <v/>
      </c>
      <c r="I313" s="16">
        <f>IF(B313="","",SUMIFS(Pagos!$G:$G,Pagos!$B:$B,A313))</f>
        <v/>
      </c>
      <c r="J313" s="17">
        <f>IF(B313="","",IF(COUNTIF(Pagos!$B:$B,A313)=0,"",_xlfn.MAXIFS(Pagos!$D:$D,Pagos!$B:$B,A313)))</f>
        <v/>
      </c>
      <c r="K313" s="11">
        <f>IF(B313="","",IF(J313="",TODAY()-C313,TODAY()-J313))</f>
        <v/>
      </c>
      <c r="L313" s="11">
        <f>IF(B313="","",IF(F313="Diario",1,IF(F313="Semanal",7,IF(F313="Quincenal",15,IF(F313="Mensual",30,30))))+Resumen!$B$2)</f>
        <v/>
      </c>
      <c r="M313" s="11">
        <f>IF(B313="","",IF(G313&lt;=0,"Pagado",IF(K313&gt;L313,"Atrasado","Al dia")))</f>
        <v/>
      </c>
    </row>
    <row r="314">
      <c r="A314" s="11">
        <f>IF(B314="","","P"&amp;TEXT(ROW()-1,"000"))</f>
        <v/>
      </c>
      <c r="B314" s="12" t="n"/>
      <c r="C314" s="13" t="n"/>
      <c r="D314" s="14" t="n"/>
      <c r="E314" s="15" t="n"/>
      <c r="F314" s="12" t="n"/>
      <c r="G314" s="16">
        <f>IF(B314="","",D314-SUMIFS(Pagos!$H:$H,Pagos!$B:$B,A314))</f>
        <v/>
      </c>
      <c r="H314" s="16">
        <f>IF(B314="","",SUMIFS(Pagos!$E:$E,Pagos!$B:$B,A314))</f>
        <v/>
      </c>
      <c r="I314" s="16">
        <f>IF(B314="","",SUMIFS(Pagos!$G:$G,Pagos!$B:$B,A314))</f>
        <v/>
      </c>
      <c r="J314" s="17">
        <f>IF(B314="","",IF(COUNTIF(Pagos!$B:$B,A314)=0,"",_xlfn.MAXIFS(Pagos!$D:$D,Pagos!$B:$B,A314)))</f>
        <v/>
      </c>
      <c r="K314" s="11">
        <f>IF(B314="","",IF(J314="",TODAY()-C314,TODAY()-J314))</f>
        <v/>
      </c>
      <c r="L314" s="11">
        <f>IF(B314="","",IF(F314="Diario",1,IF(F314="Semanal",7,IF(F314="Quincenal",15,IF(F314="Mensual",30,30))))+Resumen!$B$2)</f>
        <v/>
      </c>
      <c r="M314" s="11">
        <f>IF(B314="","",IF(G314&lt;=0,"Pagado",IF(K314&gt;L314,"Atrasado","Al dia")))</f>
        <v/>
      </c>
    </row>
    <row r="315">
      <c r="A315" s="11">
        <f>IF(B315="","","P"&amp;TEXT(ROW()-1,"000"))</f>
        <v/>
      </c>
      <c r="B315" s="12" t="n"/>
      <c r="C315" s="13" t="n"/>
      <c r="D315" s="14" t="n"/>
      <c r="E315" s="15" t="n"/>
      <c r="F315" s="12" t="n"/>
      <c r="G315" s="16">
        <f>IF(B315="","",D315-SUMIFS(Pagos!$H:$H,Pagos!$B:$B,A315))</f>
        <v/>
      </c>
      <c r="H315" s="16">
        <f>IF(B315="","",SUMIFS(Pagos!$E:$E,Pagos!$B:$B,A315))</f>
        <v/>
      </c>
      <c r="I315" s="16">
        <f>IF(B315="","",SUMIFS(Pagos!$G:$G,Pagos!$B:$B,A315))</f>
        <v/>
      </c>
      <c r="J315" s="17">
        <f>IF(B315="","",IF(COUNTIF(Pagos!$B:$B,A315)=0,"",_xlfn.MAXIFS(Pagos!$D:$D,Pagos!$B:$B,A315)))</f>
        <v/>
      </c>
      <c r="K315" s="11">
        <f>IF(B315="","",IF(J315="",TODAY()-C315,TODAY()-J315))</f>
        <v/>
      </c>
      <c r="L315" s="11">
        <f>IF(B315="","",IF(F315="Diario",1,IF(F315="Semanal",7,IF(F315="Quincenal",15,IF(F315="Mensual",30,30))))+Resumen!$B$2)</f>
        <v/>
      </c>
      <c r="M315" s="11">
        <f>IF(B315="","",IF(G315&lt;=0,"Pagado",IF(K315&gt;L315,"Atrasado","Al dia")))</f>
        <v/>
      </c>
    </row>
    <row r="316">
      <c r="A316" s="11">
        <f>IF(B316="","","P"&amp;TEXT(ROW()-1,"000"))</f>
        <v/>
      </c>
      <c r="B316" s="12" t="n"/>
      <c r="C316" s="13" t="n"/>
      <c r="D316" s="14" t="n"/>
      <c r="E316" s="15" t="n"/>
      <c r="F316" s="12" t="n"/>
      <c r="G316" s="16">
        <f>IF(B316="","",D316-SUMIFS(Pagos!$H:$H,Pagos!$B:$B,A316))</f>
        <v/>
      </c>
      <c r="H316" s="16">
        <f>IF(B316="","",SUMIFS(Pagos!$E:$E,Pagos!$B:$B,A316))</f>
        <v/>
      </c>
      <c r="I316" s="16">
        <f>IF(B316="","",SUMIFS(Pagos!$G:$G,Pagos!$B:$B,A316))</f>
        <v/>
      </c>
      <c r="J316" s="17">
        <f>IF(B316="","",IF(COUNTIF(Pagos!$B:$B,A316)=0,"",_xlfn.MAXIFS(Pagos!$D:$D,Pagos!$B:$B,A316)))</f>
        <v/>
      </c>
      <c r="K316" s="11">
        <f>IF(B316="","",IF(J316="",TODAY()-C316,TODAY()-J316))</f>
        <v/>
      </c>
      <c r="L316" s="11">
        <f>IF(B316="","",IF(F316="Diario",1,IF(F316="Semanal",7,IF(F316="Quincenal",15,IF(F316="Mensual",30,30))))+Resumen!$B$2)</f>
        <v/>
      </c>
      <c r="M316" s="11">
        <f>IF(B316="","",IF(G316&lt;=0,"Pagado",IF(K316&gt;L316,"Atrasado","Al dia")))</f>
        <v/>
      </c>
    </row>
    <row r="317">
      <c r="A317" s="11">
        <f>IF(B317="","","P"&amp;TEXT(ROW()-1,"000"))</f>
        <v/>
      </c>
      <c r="B317" s="12" t="n"/>
      <c r="C317" s="13" t="n"/>
      <c r="D317" s="14" t="n"/>
      <c r="E317" s="15" t="n"/>
      <c r="F317" s="12" t="n"/>
      <c r="G317" s="16">
        <f>IF(B317="","",D317-SUMIFS(Pagos!$H:$H,Pagos!$B:$B,A317))</f>
        <v/>
      </c>
      <c r="H317" s="16">
        <f>IF(B317="","",SUMIFS(Pagos!$E:$E,Pagos!$B:$B,A317))</f>
        <v/>
      </c>
      <c r="I317" s="16">
        <f>IF(B317="","",SUMIFS(Pagos!$G:$G,Pagos!$B:$B,A317))</f>
        <v/>
      </c>
      <c r="J317" s="17">
        <f>IF(B317="","",IF(COUNTIF(Pagos!$B:$B,A317)=0,"",_xlfn.MAXIFS(Pagos!$D:$D,Pagos!$B:$B,A317)))</f>
        <v/>
      </c>
      <c r="K317" s="11">
        <f>IF(B317="","",IF(J317="",TODAY()-C317,TODAY()-J317))</f>
        <v/>
      </c>
      <c r="L317" s="11">
        <f>IF(B317="","",IF(F317="Diario",1,IF(F317="Semanal",7,IF(F317="Quincenal",15,IF(F317="Mensual",30,30))))+Resumen!$B$2)</f>
        <v/>
      </c>
      <c r="M317" s="11">
        <f>IF(B317="","",IF(G317&lt;=0,"Pagado",IF(K317&gt;L317,"Atrasado","Al dia")))</f>
        <v/>
      </c>
    </row>
    <row r="318">
      <c r="A318" s="11">
        <f>IF(B318="","","P"&amp;TEXT(ROW()-1,"000"))</f>
        <v/>
      </c>
      <c r="B318" s="12" t="n"/>
      <c r="C318" s="13" t="n"/>
      <c r="D318" s="14" t="n"/>
      <c r="E318" s="15" t="n"/>
      <c r="F318" s="12" t="n"/>
      <c r="G318" s="16">
        <f>IF(B318="","",D318-SUMIFS(Pagos!$H:$H,Pagos!$B:$B,A318))</f>
        <v/>
      </c>
      <c r="H318" s="16">
        <f>IF(B318="","",SUMIFS(Pagos!$E:$E,Pagos!$B:$B,A318))</f>
        <v/>
      </c>
      <c r="I318" s="16">
        <f>IF(B318="","",SUMIFS(Pagos!$G:$G,Pagos!$B:$B,A318))</f>
        <v/>
      </c>
      <c r="J318" s="17">
        <f>IF(B318="","",IF(COUNTIF(Pagos!$B:$B,A318)=0,"",_xlfn.MAXIFS(Pagos!$D:$D,Pagos!$B:$B,A318)))</f>
        <v/>
      </c>
      <c r="K318" s="11">
        <f>IF(B318="","",IF(J318="",TODAY()-C318,TODAY()-J318))</f>
        <v/>
      </c>
      <c r="L318" s="11">
        <f>IF(B318="","",IF(F318="Diario",1,IF(F318="Semanal",7,IF(F318="Quincenal",15,IF(F318="Mensual",30,30))))+Resumen!$B$2)</f>
        <v/>
      </c>
      <c r="M318" s="11">
        <f>IF(B318="","",IF(G318&lt;=0,"Pagado",IF(K318&gt;L318,"Atrasado","Al dia")))</f>
        <v/>
      </c>
    </row>
    <row r="319">
      <c r="A319" s="11">
        <f>IF(B319="","","P"&amp;TEXT(ROW()-1,"000"))</f>
        <v/>
      </c>
      <c r="B319" s="12" t="n"/>
      <c r="C319" s="13" t="n"/>
      <c r="D319" s="14" t="n"/>
      <c r="E319" s="15" t="n"/>
      <c r="F319" s="12" t="n"/>
      <c r="G319" s="16">
        <f>IF(B319="","",D319-SUMIFS(Pagos!$H:$H,Pagos!$B:$B,A319))</f>
        <v/>
      </c>
      <c r="H319" s="16">
        <f>IF(B319="","",SUMIFS(Pagos!$E:$E,Pagos!$B:$B,A319))</f>
        <v/>
      </c>
      <c r="I319" s="16">
        <f>IF(B319="","",SUMIFS(Pagos!$G:$G,Pagos!$B:$B,A319))</f>
        <v/>
      </c>
      <c r="J319" s="17">
        <f>IF(B319="","",IF(COUNTIF(Pagos!$B:$B,A319)=0,"",_xlfn.MAXIFS(Pagos!$D:$D,Pagos!$B:$B,A319)))</f>
        <v/>
      </c>
      <c r="K319" s="11">
        <f>IF(B319="","",IF(J319="",TODAY()-C319,TODAY()-J319))</f>
        <v/>
      </c>
      <c r="L319" s="11">
        <f>IF(B319="","",IF(F319="Diario",1,IF(F319="Semanal",7,IF(F319="Quincenal",15,IF(F319="Mensual",30,30))))+Resumen!$B$2)</f>
        <v/>
      </c>
      <c r="M319" s="11">
        <f>IF(B319="","",IF(G319&lt;=0,"Pagado",IF(K319&gt;L319,"Atrasado","Al dia")))</f>
        <v/>
      </c>
    </row>
    <row r="320">
      <c r="A320" s="11">
        <f>IF(B320="","","P"&amp;TEXT(ROW()-1,"000"))</f>
        <v/>
      </c>
      <c r="B320" s="12" t="n"/>
      <c r="C320" s="13" t="n"/>
      <c r="D320" s="14" t="n"/>
      <c r="E320" s="15" t="n"/>
      <c r="F320" s="12" t="n"/>
      <c r="G320" s="16">
        <f>IF(B320="","",D320-SUMIFS(Pagos!$H:$H,Pagos!$B:$B,A320))</f>
        <v/>
      </c>
      <c r="H320" s="16">
        <f>IF(B320="","",SUMIFS(Pagos!$E:$E,Pagos!$B:$B,A320))</f>
        <v/>
      </c>
      <c r="I320" s="16">
        <f>IF(B320="","",SUMIFS(Pagos!$G:$G,Pagos!$B:$B,A320))</f>
        <v/>
      </c>
      <c r="J320" s="17">
        <f>IF(B320="","",IF(COUNTIF(Pagos!$B:$B,A320)=0,"",_xlfn.MAXIFS(Pagos!$D:$D,Pagos!$B:$B,A320)))</f>
        <v/>
      </c>
      <c r="K320" s="11">
        <f>IF(B320="","",IF(J320="",TODAY()-C320,TODAY()-J320))</f>
        <v/>
      </c>
      <c r="L320" s="11">
        <f>IF(B320="","",IF(F320="Diario",1,IF(F320="Semanal",7,IF(F320="Quincenal",15,IF(F320="Mensual",30,30))))+Resumen!$B$2)</f>
        <v/>
      </c>
      <c r="M320" s="11">
        <f>IF(B320="","",IF(G320&lt;=0,"Pagado",IF(K320&gt;L320,"Atrasado","Al dia")))</f>
        <v/>
      </c>
    </row>
    <row r="321">
      <c r="A321" s="11">
        <f>IF(B321="","","P"&amp;TEXT(ROW()-1,"000"))</f>
        <v/>
      </c>
      <c r="B321" s="12" t="n"/>
      <c r="C321" s="13" t="n"/>
      <c r="D321" s="14" t="n"/>
      <c r="E321" s="15" t="n"/>
      <c r="F321" s="12" t="n"/>
      <c r="G321" s="16">
        <f>IF(B321="","",D321-SUMIFS(Pagos!$H:$H,Pagos!$B:$B,A321))</f>
        <v/>
      </c>
      <c r="H321" s="16">
        <f>IF(B321="","",SUMIFS(Pagos!$E:$E,Pagos!$B:$B,A321))</f>
        <v/>
      </c>
      <c r="I321" s="16">
        <f>IF(B321="","",SUMIFS(Pagos!$G:$G,Pagos!$B:$B,A321))</f>
        <v/>
      </c>
      <c r="J321" s="17">
        <f>IF(B321="","",IF(COUNTIF(Pagos!$B:$B,A321)=0,"",_xlfn.MAXIFS(Pagos!$D:$D,Pagos!$B:$B,A321)))</f>
        <v/>
      </c>
      <c r="K321" s="11">
        <f>IF(B321="","",IF(J321="",TODAY()-C321,TODAY()-J321))</f>
        <v/>
      </c>
      <c r="L321" s="11">
        <f>IF(B321="","",IF(F321="Diario",1,IF(F321="Semanal",7,IF(F321="Quincenal",15,IF(F321="Mensual",30,30))))+Resumen!$B$2)</f>
        <v/>
      </c>
      <c r="M321" s="11">
        <f>IF(B321="","",IF(G321&lt;=0,"Pagado",IF(K321&gt;L321,"Atrasado","Al dia")))</f>
        <v/>
      </c>
    </row>
    <row r="322">
      <c r="A322" s="11">
        <f>IF(B322="","","P"&amp;TEXT(ROW()-1,"000"))</f>
        <v/>
      </c>
      <c r="B322" s="12" t="n"/>
      <c r="C322" s="13" t="n"/>
      <c r="D322" s="14" t="n"/>
      <c r="E322" s="15" t="n"/>
      <c r="F322" s="12" t="n"/>
      <c r="G322" s="16">
        <f>IF(B322="","",D322-SUMIFS(Pagos!$H:$H,Pagos!$B:$B,A322))</f>
        <v/>
      </c>
      <c r="H322" s="16">
        <f>IF(B322="","",SUMIFS(Pagos!$E:$E,Pagos!$B:$B,A322))</f>
        <v/>
      </c>
      <c r="I322" s="16">
        <f>IF(B322="","",SUMIFS(Pagos!$G:$G,Pagos!$B:$B,A322))</f>
        <v/>
      </c>
      <c r="J322" s="17">
        <f>IF(B322="","",IF(COUNTIF(Pagos!$B:$B,A322)=0,"",_xlfn.MAXIFS(Pagos!$D:$D,Pagos!$B:$B,A322)))</f>
        <v/>
      </c>
      <c r="K322" s="11">
        <f>IF(B322="","",IF(J322="",TODAY()-C322,TODAY()-J322))</f>
        <v/>
      </c>
      <c r="L322" s="11">
        <f>IF(B322="","",IF(F322="Diario",1,IF(F322="Semanal",7,IF(F322="Quincenal",15,IF(F322="Mensual",30,30))))+Resumen!$B$2)</f>
        <v/>
      </c>
      <c r="M322" s="11">
        <f>IF(B322="","",IF(G322&lt;=0,"Pagado",IF(K322&gt;L322,"Atrasado","Al dia")))</f>
        <v/>
      </c>
    </row>
    <row r="323">
      <c r="A323" s="11">
        <f>IF(B323="","","P"&amp;TEXT(ROW()-1,"000"))</f>
        <v/>
      </c>
      <c r="B323" s="12" t="n"/>
      <c r="C323" s="13" t="n"/>
      <c r="D323" s="14" t="n"/>
      <c r="E323" s="15" t="n"/>
      <c r="F323" s="12" t="n"/>
      <c r="G323" s="16">
        <f>IF(B323="","",D323-SUMIFS(Pagos!$H:$H,Pagos!$B:$B,A323))</f>
        <v/>
      </c>
      <c r="H323" s="16">
        <f>IF(B323="","",SUMIFS(Pagos!$E:$E,Pagos!$B:$B,A323))</f>
        <v/>
      </c>
      <c r="I323" s="16">
        <f>IF(B323="","",SUMIFS(Pagos!$G:$G,Pagos!$B:$B,A323))</f>
        <v/>
      </c>
      <c r="J323" s="17">
        <f>IF(B323="","",IF(COUNTIF(Pagos!$B:$B,A323)=0,"",_xlfn.MAXIFS(Pagos!$D:$D,Pagos!$B:$B,A323)))</f>
        <v/>
      </c>
      <c r="K323" s="11">
        <f>IF(B323="","",IF(J323="",TODAY()-C323,TODAY()-J323))</f>
        <v/>
      </c>
      <c r="L323" s="11">
        <f>IF(B323="","",IF(F323="Diario",1,IF(F323="Semanal",7,IF(F323="Quincenal",15,IF(F323="Mensual",30,30))))+Resumen!$B$2)</f>
        <v/>
      </c>
      <c r="M323" s="11">
        <f>IF(B323="","",IF(G323&lt;=0,"Pagado",IF(K323&gt;L323,"Atrasado","Al dia")))</f>
        <v/>
      </c>
    </row>
    <row r="324">
      <c r="A324" s="11">
        <f>IF(B324="","","P"&amp;TEXT(ROW()-1,"000"))</f>
        <v/>
      </c>
      <c r="B324" s="12" t="n"/>
      <c r="C324" s="13" t="n"/>
      <c r="D324" s="14" t="n"/>
      <c r="E324" s="15" t="n"/>
      <c r="F324" s="12" t="n"/>
      <c r="G324" s="16">
        <f>IF(B324="","",D324-SUMIFS(Pagos!$H:$H,Pagos!$B:$B,A324))</f>
        <v/>
      </c>
      <c r="H324" s="16">
        <f>IF(B324="","",SUMIFS(Pagos!$E:$E,Pagos!$B:$B,A324))</f>
        <v/>
      </c>
      <c r="I324" s="16">
        <f>IF(B324="","",SUMIFS(Pagos!$G:$G,Pagos!$B:$B,A324))</f>
        <v/>
      </c>
      <c r="J324" s="17">
        <f>IF(B324="","",IF(COUNTIF(Pagos!$B:$B,A324)=0,"",_xlfn.MAXIFS(Pagos!$D:$D,Pagos!$B:$B,A324)))</f>
        <v/>
      </c>
      <c r="K324" s="11">
        <f>IF(B324="","",IF(J324="",TODAY()-C324,TODAY()-J324))</f>
        <v/>
      </c>
      <c r="L324" s="11">
        <f>IF(B324="","",IF(F324="Diario",1,IF(F324="Semanal",7,IF(F324="Quincenal",15,IF(F324="Mensual",30,30))))+Resumen!$B$2)</f>
        <v/>
      </c>
      <c r="M324" s="11">
        <f>IF(B324="","",IF(G324&lt;=0,"Pagado",IF(K324&gt;L324,"Atrasado","Al dia")))</f>
        <v/>
      </c>
    </row>
    <row r="325">
      <c r="A325" s="11">
        <f>IF(B325="","","P"&amp;TEXT(ROW()-1,"000"))</f>
        <v/>
      </c>
      <c r="B325" s="12" t="n"/>
      <c r="C325" s="13" t="n"/>
      <c r="D325" s="14" t="n"/>
      <c r="E325" s="15" t="n"/>
      <c r="F325" s="12" t="n"/>
      <c r="G325" s="16">
        <f>IF(B325="","",D325-SUMIFS(Pagos!$H:$H,Pagos!$B:$B,A325))</f>
        <v/>
      </c>
      <c r="H325" s="16">
        <f>IF(B325="","",SUMIFS(Pagos!$E:$E,Pagos!$B:$B,A325))</f>
        <v/>
      </c>
      <c r="I325" s="16">
        <f>IF(B325="","",SUMIFS(Pagos!$G:$G,Pagos!$B:$B,A325))</f>
        <v/>
      </c>
      <c r="J325" s="17">
        <f>IF(B325="","",IF(COUNTIF(Pagos!$B:$B,A325)=0,"",_xlfn.MAXIFS(Pagos!$D:$D,Pagos!$B:$B,A325)))</f>
        <v/>
      </c>
      <c r="K325" s="11">
        <f>IF(B325="","",IF(J325="",TODAY()-C325,TODAY()-J325))</f>
        <v/>
      </c>
      <c r="L325" s="11">
        <f>IF(B325="","",IF(F325="Diario",1,IF(F325="Semanal",7,IF(F325="Quincenal",15,IF(F325="Mensual",30,30))))+Resumen!$B$2)</f>
        <v/>
      </c>
      <c r="M325" s="11">
        <f>IF(B325="","",IF(G325&lt;=0,"Pagado",IF(K325&gt;L325,"Atrasado","Al dia")))</f>
        <v/>
      </c>
    </row>
    <row r="326">
      <c r="A326" s="11">
        <f>IF(B326="","","P"&amp;TEXT(ROW()-1,"000"))</f>
        <v/>
      </c>
      <c r="B326" s="12" t="n"/>
      <c r="C326" s="13" t="n"/>
      <c r="D326" s="14" t="n"/>
      <c r="E326" s="15" t="n"/>
      <c r="F326" s="12" t="n"/>
      <c r="G326" s="16">
        <f>IF(B326="","",D326-SUMIFS(Pagos!$H:$H,Pagos!$B:$B,A326))</f>
        <v/>
      </c>
      <c r="H326" s="16">
        <f>IF(B326="","",SUMIFS(Pagos!$E:$E,Pagos!$B:$B,A326))</f>
        <v/>
      </c>
      <c r="I326" s="16">
        <f>IF(B326="","",SUMIFS(Pagos!$G:$G,Pagos!$B:$B,A326))</f>
        <v/>
      </c>
      <c r="J326" s="17">
        <f>IF(B326="","",IF(COUNTIF(Pagos!$B:$B,A326)=0,"",_xlfn.MAXIFS(Pagos!$D:$D,Pagos!$B:$B,A326)))</f>
        <v/>
      </c>
      <c r="K326" s="11">
        <f>IF(B326="","",IF(J326="",TODAY()-C326,TODAY()-J326))</f>
        <v/>
      </c>
      <c r="L326" s="11">
        <f>IF(B326="","",IF(F326="Diario",1,IF(F326="Semanal",7,IF(F326="Quincenal",15,IF(F326="Mensual",30,30))))+Resumen!$B$2)</f>
        <v/>
      </c>
      <c r="M326" s="11">
        <f>IF(B326="","",IF(G326&lt;=0,"Pagado",IF(K326&gt;L326,"Atrasado","Al dia")))</f>
        <v/>
      </c>
    </row>
    <row r="327">
      <c r="A327" s="11">
        <f>IF(B327="","","P"&amp;TEXT(ROW()-1,"000"))</f>
        <v/>
      </c>
      <c r="B327" s="12" t="n"/>
      <c r="C327" s="13" t="n"/>
      <c r="D327" s="14" t="n"/>
      <c r="E327" s="15" t="n"/>
      <c r="F327" s="12" t="n"/>
      <c r="G327" s="16">
        <f>IF(B327="","",D327-SUMIFS(Pagos!$H:$H,Pagos!$B:$B,A327))</f>
        <v/>
      </c>
      <c r="H327" s="16">
        <f>IF(B327="","",SUMIFS(Pagos!$E:$E,Pagos!$B:$B,A327))</f>
        <v/>
      </c>
      <c r="I327" s="16">
        <f>IF(B327="","",SUMIFS(Pagos!$G:$G,Pagos!$B:$B,A327))</f>
        <v/>
      </c>
      <c r="J327" s="17">
        <f>IF(B327="","",IF(COUNTIF(Pagos!$B:$B,A327)=0,"",_xlfn.MAXIFS(Pagos!$D:$D,Pagos!$B:$B,A327)))</f>
        <v/>
      </c>
      <c r="K327" s="11">
        <f>IF(B327="","",IF(J327="",TODAY()-C327,TODAY()-J327))</f>
        <v/>
      </c>
      <c r="L327" s="11">
        <f>IF(B327="","",IF(F327="Diario",1,IF(F327="Semanal",7,IF(F327="Quincenal",15,IF(F327="Mensual",30,30))))+Resumen!$B$2)</f>
        <v/>
      </c>
      <c r="M327" s="11">
        <f>IF(B327="","",IF(G327&lt;=0,"Pagado",IF(K327&gt;L327,"Atrasado","Al dia")))</f>
        <v/>
      </c>
    </row>
    <row r="328">
      <c r="A328" s="11">
        <f>IF(B328="","","P"&amp;TEXT(ROW()-1,"000"))</f>
        <v/>
      </c>
      <c r="B328" s="12" t="n"/>
      <c r="C328" s="13" t="n"/>
      <c r="D328" s="14" t="n"/>
      <c r="E328" s="15" t="n"/>
      <c r="F328" s="12" t="n"/>
      <c r="G328" s="16">
        <f>IF(B328="","",D328-SUMIFS(Pagos!$H:$H,Pagos!$B:$B,A328))</f>
        <v/>
      </c>
      <c r="H328" s="16">
        <f>IF(B328="","",SUMIFS(Pagos!$E:$E,Pagos!$B:$B,A328))</f>
        <v/>
      </c>
      <c r="I328" s="16">
        <f>IF(B328="","",SUMIFS(Pagos!$G:$G,Pagos!$B:$B,A328))</f>
        <v/>
      </c>
      <c r="J328" s="17">
        <f>IF(B328="","",IF(COUNTIF(Pagos!$B:$B,A328)=0,"",_xlfn.MAXIFS(Pagos!$D:$D,Pagos!$B:$B,A328)))</f>
        <v/>
      </c>
      <c r="K328" s="11">
        <f>IF(B328="","",IF(J328="",TODAY()-C328,TODAY()-J328))</f>
        <v/>
      </c>
      <c r="L328" s="11">
        <f>IF(B328="","",IF(F328="Diario",1,IF(F328="Semanal",7,IF(F328="Quincenal",15,IF(F328="Mensual",30,30))))+Resumen!$B$2)</f>
        <v/>
      </c>
      <c r="M328" s="11">
        <f>IF(B328="","",IF(G328&lt;=0,"Pagado",IF(K328&gt;L328,"Atrasado","Al dia")))</f>
        <v/>
      </c>
    </row>
    <row r="329">
      <c r="A329" s="11">
        <f>IF(B329="","","P"&amp;TEXT(ROW()-1,"000"))</f>
        <v/>
      </c>
      <c r="B329" s="12" t="n"/>
      <c r="C329" s="13" t="n"/>
      <c r="D329" s="14" t="n"/>
      <c r="E329" s="15" t="n"/>
      <c r="F329" s="12" t="n"/>
      <c r="G329" s="16">
        <f>IF(B329="","",D329-SUMIFS(Pagos!$H:$H,Pagos!$B:$B,A329))</f>
        <v/>
      </c>
      <c r="H329" s="16">
        <f>IF(B329="","",SUMIFS(Pagos!$E:$E,Pagos!$B:$B,A329))</f>
        <v/>
      </c>
      <c r="I329" s="16">
        <f>IF(B329="","",SUMIFS(Pagos!$G:$G,Pagos!$B:$B,A329))</f>
        <v/>
      </c>
      <c r="J329" s="17">
        <f>IF(B329="","",IF(COUNTIF(Pagos!$B:$B,A329)=0,"",_xlfn.MAXIFS(Pagos!$D:$D,Pagos!$B:$B,A329)))</f>
        <v/>
      </c>
      <c r="K329" s="11">
        <f>IF(B329="","",IF(J329="",TODAY()-C329,TODAY()-J329))</f>
        <v/>
      </c>
      <c r="L329" s="11">
        <f>IF(B329="","",IF(F329="Diario",1,IF(F329="Semanal",7,IF(F329="Quincenal",15,IF(F329="Mensual",30,30))))+Resumen!$B$2)</f>
        <v/>
      </c>
      <c r="M329" s="11">
        <f>IF(B329="","",IF(G329&lt;=0,"Pagado",IF(K329&gt;L329,"Atrasado","Al dia")))</f>
        <v/>
      </c>
    </row>
    <row r="330">
      <c r="A330" s="11">
        <f>IF(B330="","","P"&amp;TEXT(ROW()-1,"000"))</f>
        <v/>
      </c>
      <c r="B330" s="12" t="n"/>
      <c r="C330" s="13" t="n"/>
      <c r="D330" s="14" t="n"/>
      <c r="E330" s="15" t="n"/>
      <c r="F330" s="12" t="n"/>
      <c r="G330" s="16">
        <f>IF(B330="","",D330-SUMIFS(Pagos!$H:$H,Pagos!$B:$B,A330))</f>
        <v/>
      </c>
      <c r="H330" s="16">
        <f>IF(B330="","",SUMIFS(Pagos!$E:$E,Pagos!$B:$B,A330))</f>
        <v/>
      </c>
      <c r="I330" s="16">
        <f>IF(B330="","",SUMIFS(Pagos!$G:$G,Pagos!$B:$B,A330))</f>
        <v/>
      </c>
      <c r="J330" s="17">
        <f>IF(B330="","",IF(COUNTIF(Pagos!$B:$B,A330)=0,"",_xlfn.MAXIFS(Pagos!$D:$D,Pagos!$B:$B,A330)))</f>
        <v/>
      </c>
      <c r="K330" s="11">
        <f>IF(B330="","",IF(J330="",TODAY()-C330,TODAY()-J330))</f>
        <v/>
      </c>
      <c r="L330" s="11">
        <f>IF(B330="","",IF(F330="Diario",1,IF(F330="Semanal",7,IF(F330="Quincenal",15,IF(F330="Mensual",30,30))))+Resumen!$B$2)</f>
        <v/>
      </c>
      <c r="M330" s="11">
        <f>IF(B330="","",IF(G330&lt;=0,"Pagado",IF(K330&gt;L330,"Atrasado","Al dia")))</f>
        <v/>
      </c>
    </row>
    <row r="331">
      <c r="A331" s="11">
        <f>IF(B331="","","P"&amp;TEXT(ROW()-1,"000"))</f>
        <v/>
      </c>
      <c r="B331" s="12" t="n"/>
      <c r="C331" s="13" t="n"/>
      <c r="D331" s="14" t="n"/>
      <c r="E331" s="15" t="n"/>
      <c r="F331" s="12" t="n"/>
      <c r="G331" s="16">
        <f>IF(B331="","",D331-SUMIFS(Pagos!$H:$H,Pagos!$B:$B,A331))</f>
        <v/>
      </c>
      <c r="H331" s="16">
        <f>IF(B331="","",SUMIFS(Pagos!$E:$E,Pagos!$B:$B,A331))</f>
        <v/>
      </c>
      <c r="I331" s="16">
        <f>IF(B331="","",SUMIFS(Pagos!$G:$G,Pagos!$B:$B,A331))</f>
        <v/>
      </c>
      <c r="J331" s="17">
        <f>IF(B331="","",IF(COUNTIF(Pagos!$B:$B,A331)=0,"",_xlfn.MAXIFS(Pagos!$D:$D,Pagos!$B:$B,A331)))</f>
        <v/>
      </c>
      <c r="K331" s="11">
        <f>IF(B331="","",IF(J331="",TODAY()-C331,TODAY()-J331))</f>
        <v/>
      </c>
      <c r="L331" s="11">
        <f>IF(B331="","",IF(F331="Diario",1,IF(F331="Semanal",7,IF(F331="Quincenal",15,IF(F331="Mensual",30,30))))+Resumen!$B$2)</f>
        <v/>
      </c>
      <c r="M331" s="11">
        <f>IF(B331="","",IF(G331&lt;=0,"Pagado",IF(K331&gt;L331,"Atrasado","Al dia")))</f>
        <v/>
      </c>
    </row>
    <row r="332">
      <c r="A332" s="11">
        <f>IF(B332="","","P"&amp;TEXT(ROW()-1,"000"))</f>
        <v/>
      </c>
      <c r="B332" s="12" t="n"/>
      <c r="C332" s="13" t="n"/>
      <c r="D332" s="14" t="n"/>
      <c r="E332" s="15" t="n"/>
      <c r="F332" s="12" t="n"/>
      <c r="G332" s="16">
        <f>IF(B332="","",D332-SUMIFS(Pagos!$H:$H,Pagos!$B:$B,A332))</f>
        <v/>
      </c>
      <c r="H332" s="16">
        <f>IF(B332="","",SUMIFS(Pagos!$E:$E,Pagos!$B:$B,A332))</f>
        <v/>
      </c>
      <c r="I332" s="16">
        <f>IF(B332="","",SUMIFS(Pagos!$G:$G,Pagos!$B:$B,A332))</f>
        <v/>
      </c>
      <c r="J332" s="17">
        <f>IF(B332="","",IF(COUNTIF(Pagos!$B:$B,A332)=0,"",_xlfn.MAXIFS(Pagos!$D:$D,Pagos!$B:$B,A332)))</f>
        <v/>
      </c>
      <c r="K332" s="11">
        <f>IF(B332="","",IF(J332="",TODAY()-C332,TODAY()-J332))</f>
        <v/>
      </c>
      <c r="L332" s="11">
        <f>IF(B332="","",IF(F332="Diario",1,IF(F332="Semanal",7,IF(F332="Quincenal",15,IF(F332="Mensual",30,30))))+Resumen!$B$2)</f>
        <v/>
      </c>
      <c r="M332" s="11">
        <f>IF(B332="","",IF(G332&lt;=0,"Pagado",IF(K332&gt;L332,"Atrasado","Al dia")))</f>
        <v/>
      </c>
    </row>
    <row r="333">
      <c r="A333" s="11">
        <f>IF(B333="","","P"&amp;TEXT(ROW()-1,"000"))</f>
        <v/>
      </c>
      <c r="B333" s="12" t="n"/>
      <c r="C333" s="13" t="n"/>
      <c r="D333" s="14" t="n"/>
      <c r="E333" s="15" t="n"/>
      <c r="F333" s="12" t="n"/>
      <c r="G333" s="16">
        <f>IF(B333="","",D333-SUMIFS(Pagos!$H:$H,Pagos!$B:$B,A333))</f>
        <v/>
      </c>
      <c r="H333" s="16">
        <f>IF(B333="","",SUMIFS(Pagos!$E:$E,Pagos!$B:$B,A333))</f>
        <v/>
      </c>
      <c r="I333" s="16">
        <f>IF(B333="","",SUMIFS(Pagos!$G:$G,Pagos!$B:$B,A333))</f>
        <v/>
      </c>
      <c r="J333" s="17">
        <f>IF(B333="","",IF(COUNTIF(Pagos!$B:$B,A333)=0,"",_xlfn.MAXIFS(Pagos!$D:$D,Pagos!$B:$B,A333)))</f>
        <v/>
      </c>
      <c r="K333" s="11">
        <f>IF(B333="","",IF(J333="",TODAY()-C333,TODAY()-J333))</f>
        <v/>
      </c>
      <c r="L333" s="11">
        <f>IF(B333="","",IF(F333="Diario",1,IF(F333="Semanal",7,IF(F333="Quincenal",15,IF(F333="Mensual",30,30))))+Resumen!$B$2)</f>
        <v/>
      </c>
      <c r="M333" s="11">
        <f>IF(B333="","",IF(G333&lt;=0,"Pagado",IF(K333&gt;L333,"Atrasado","Al dia")))</f>
        <v/>
      </c>
    </row>
    <row r="334">
      <c r="A334" s="11">
        <f>IF(B334="","","P"&amp;TEXT(ROW()-1,"000"))</f>
        <v/>
      </c>
      <c r="B334" s="12" t="n"/>
      <c r="C334" s="13" t="n"/>
      <c r="D334" s="14" t="n"/>
      <c r="E334" s="15" t="n"/>
      <c r="F334" s="12" t="n"/>
      <c r="G334" s="16">
        <f>IF(B334="","",D334-SUMIFS(Pagos!$H:$H,Pagos!$B:$B,A334))</f>
        <v/>
      </c>
      <c r="H334" s="16">
        <f>IF(B334="","",SUMIFS(Pagos!$E:$E,Pagos!$B:$B,A334))</f>
        <v/>
      </c>
      <c r="I334" s="16">
        <f>IF(B334="","",SUMIFS(Pagos!$G:$G,Pagos!$B:$B,A334))</f>
        <v/>
      </c>
      <c r="J334" s="17">
        <f>IF(B334="","",IF(COUNTIF(Pagos!$B:$B,A334)=0,"",_xlfn.MAXIFS(Pagos!$D:$D,Pagos!$B:$B,A334)))</f>
        <v/>
      </c>
      <c r="K334" s="11">
        <f>IF(B334="","",IF(J334="",TODAY()-C334,TODAY()-J334))</f>
        <v/>
      </c>
      <c r="L334" s="11">
        <f>IF(B334="","",IF(F334="Diario",1,IF(F334="Semanal",7,IF(F334="Quincenal",15,IF(F334="Mensual",30,30))))+Resumen!$B$2)</f>
        <v/>
      </c>
      <c r="M334" s="11">
        <f>IF(B334="","",IF(G334&lt;=0,"Pagado",IF(K334&gt;L334,"Atrasado","Al dia")))</f>
        <v/>
      </c>
    </row>
    <row r="335">
      <c r="A335" s="11">
        <f>IF(B335="","","P"&amp;TEXT(ROW()-1,"000"))</f>
        <v/>
      </c>
      <c r="B335" s="12" t="n"/>
      <c r="C335" s="13" t="n"/>
      <c r="D335" s="14" t="n"/>
      <c r="E335" s="15" t="n"/>
      <c r="F335" s="12" t="n"/>
      <c r="G335" s="16">
        <f>IF(B335="","",D335-SUMIFS(Pagos!$H:$H,Pagos!$B:$B,A335))</f>
        <v/>
      </c>
      <c r="H335" s="16">
        <f>IF(B335="","",SUMIFS(Pagos!$E:$E,Pagos!$B:$B,A335))</f>
        <v/>
      </c>
      <c r="I335" s="16">
        <f>IF(B335="","",SUMIFS(Pagos!$G:$G,Pagos!$B:$B,A335))</f>
        <v/>
      </c>
      <c r="J335" s="17">
        <f>IF(B335="","",IF(COUNTIF(Pagos!$B:$B,A335)=0,"",_xlfn.MAXIFS(Pagos!$D:$D,Pagos!$B:$B,A335)))</f>
        <v/>
      </c>
      <c r="K335" s="11">
        <f>IF(B335="","",IF(J335="",TODAY()-C335,TODAY()-J335))</f>
        <v/>
      </c>
      <c r="L335" s="11">
        <f>IF(B335="","",IF(F335="Diario",1,IF(F335="Semanal",7,IF(F335="Quincenal",15,IF(F335="Mensual",30,30))))+Resumen!$B$2)</f>
        <v/>
      </c>
      <c r="M335" s="11">
        <f>IF(B335="","",IF(G335&lt;=0,"Pagado",IF(K335&gt;L335,"Atrasado","Al dia")))</f>
        <v/>
      </c>
    </row>
    <row r="336">
      <c r="A336" s="11">
        <f>IF(B336="","","P"&amp;TEXT(ROW()-1,"000"))</f>
        <v/>
      </c>
      <c r="B336" s="12" t="n"/>
      <c r="C336" s="13" t="n"/>
      <c r="D336" s="14" t="n"/>
      <c r="E336" s="15" t="n"/>
      <c r="F336" s="12" t="n"/>
      <c r="G336" s="16">
        <f>IF(B336="","",D336-SUMIFS(Pagos!$H:$H,Pagos!$B:$B,A336))</f>
        <v/>
      </c>
      <c r="H336" s="16">
        <f>IF(B336="","",SUMIFS(Pagos!$E:$E,Pagos!$B:$B,A336))</f>
        <v/>
      </c>
      <c r="I336" s="16">
        <f>IF(B336="","",SUMIFS(Pagos!$G:$G,Pagos!$B:$B,A336))</f>
        <v/>
      </c>
      <c r="J336" s="17">
        <f>IF(B336="","",IF(COUNTIF(Pagos!$B:$B,A336)=0,"",_xlfn.MAXIFS(Pagos!$D:$D,Pagos!$B:$B,A336)))</f>
        <v/>
      </c>
      <c r="K336" s="11">
        <f>IF(B336="","",IF(J336="",TODAY()-C336,TODAY()-J336))</f>
        <v/>
      </c>
      <c r="L336" s="11">
        <f>IF(B336="","",IF(F336="Diario",1,IF(F336="Semanal",7,IF(F336="Quincenal",15,IF(F336="Mensual",30,30))))+Resumen!$B$2)</f>
        <v/>
      </c>
      <c r="M336" s="11">
        <f>IF(B336="","",IF(G336&lt;=0,"Pagado",IF(K336&gt;L336,"Atrasado","Al dia")))</f>
        <v/>
      </c>
    </row>
    <row r="337">
      <c r="A337" s="11">
        <f>IF(B337="","","P"&amp;TEXT(ROW()-1,"000"))</f>
        <v/>
      </c>
      <c r="B337" s="12" t="n"/>
      <c r="C337" s="13" t="n"/>
      <c r="D337" s="14" t="n"/>
      <c r="E337" s="15" t="n"/>
      <c r="F337" s="12" t="n"/>
      <c r="G337" s="16">
        <f>IF(B337="","",D337-SUMIFS(Pagos!$H:$H,Pagos!$B:$B,A337))</f>
        <v/>
      </c>
      <c r="H337" s="16">
        <f>IF(B337="","",SUMIFS(Pagos!$E:$E,Pagos!$B:$B,A337))</f>
        <v/>
      </c>
      <c r="I337" s="16">
        <f>IF(B337="","",SUMIFS(Pagos!$G:$G,Pagos!$B:$B,A337))</f>
        <v/>
      </c>
      <c r="J337" s="17">
        <f>IF(B337="","",IF(COUNTIF(Pagos!$B:$B,A337)=0,"",_xlfn.MAXIFS(Pagos!$D:$D,Pagos!$B:$B,A337)))</f>
        <v/>
      </c>
      <c r="K337" s="11">
        <f>IF(B337="","",IF(J337="",TODAY()-C337,TODAY()-J337))</f>
        <v/>
      </c>
      <c r="L337" s="11">
        <f>IF(B337="","",IF(F337="Diario",1,IF(F337="Semanal",7,IF(F337="Quincenal",15,IF(F337="Mensual",30,30))))+Resumen!$B$2)</f>
        <v/>
      </c>
      <c r="M337" s="11">
        <f>IF(B337="","",IF(G337&lt;=0,"Pagado",IF(K337&gt;L337,"Atrasado","Al dia")))</f>
        <v/>
      </c>
    </row>
    <row r="338">
      <c r="A338" s="11">
        <f>IF(B338="","","P"&amp;TEXT(ROW()-1,"000"))</f>
        <v/>
      </c>
      <c r="B338" s="12" t="n"/>
      <c r="C338" s="13" t="n"/>
      <c r="D338" s="14" t="n"/>
      <c r="E338" s="15" t="n"/>
      <c r="F338" s="12" t="n"/>
      <c r="G338" s="16">
        <f>IF(B338="","",D338-SUMIFS(Pagos!$H:$H,Pagos!$B:$B,A338))</f>
        <v/>
      </c>
      <c r="H338" s="16">
        <f>IF(B338="","",SUMIFS(Pagos!$E:$E,Pagos!$B:$B,A338))</f>
        <v/>
      </c>
      <c r="I338" s="16">
        <f>IF(B338="","",SUMIFS(Pagos!$G:$G,Pagos!$B:$B,A338))</f>
        <v/>
      </c>
      <c r="J338" s="17">
        <f>IF(B338="","",IF(COUNTIF(Pagos!$B:$B,A338)=0,"",_xlfn.MAXIFS(Pagos!$D:$D,Pagos!$B:$B,A338)))</f>
        <v/>
      </c>
      <c r="K338" s="11">
        <f>IF(B338="","",IF(J338="",TODAY()-C338,TODAY()-J338))</f>
        <v/>
      </c>
      <c r="L338" s="11">
        <f>IF(B338="","",IF(F338="Diario",1,IF(F338="Semanal",7,IF(F338="Quincenal",15,IF(F338="Mensual",30,30))))+Resumen!$B$2)</f>
        <v/>
      </c>
      <c r="M338" s="11">
        <f>IF(B338="","",IF(G338&lt;=0,"Pagado",IF(K338&gt;L338,"Atrasado","Al dia")))</f>
        <v/>
      </c>
    </row>
    <row r="339">
      <c r="A339" s="11">
        <f>IF(B339="","","P"&amp;TEXT(ROW()-1,"000"))</f>
        <v/>
      </c>
      <c r="B339" s="12" t="n"/>
      <c r="C339" s="13" t="n"/>
      <c r="D339" s="14" t="n"/>
      <c r="E339" s="15" t="n"/>
      <c r="F339" s="12" t="n"/>
      <c r="G339" s="16">
        <f>IF(B339="","",D339-SUMIFS(Pagos!$H:$H,Pagos!$B:$B,A339))</f>
        <v/>
      </c>
      <c r="H339" s="16">
        <f>IF(B339="","",SUMIFS(Pagos!$E:$E,Pagos!$B:$B,A339))</f>
        <v/>
      </c>
      <c r="I339" s="16">
        <f>IF(B339="","",SUMIFS(Pagos!$G:$G,Pagos!$B:$B,A339))</f>
        <v/>
      </c>
      <c r="J339" s="17">
        <f>IF(B339="","",IF(COUNTIF(Pagos!$B:$B,A339)=0,"",_xlfn.MAXIFS(Pagos!$D:$D,Pagos!$B:$B,A339)))</f>
        <v/>
      </c>
      <c r="K339" s="11">
        <f>IF(B339="","",IF(J339="",TODAY()-C339,TODAY()-J339))</f>
        <v/>
      </c>
      <c r="L339" s="11">
        <f>IF(B339="","",IF(F339="Diario",1,IF(F339="Semanal",7,IF(F339="Quincenal",15,IF(F339="Mensual",30,30))))+Resumen!$B$2)</f>
        <v/>
      </c>
      <c r="M339" s="11">
        <f>IF(B339="","",IF(G339&lt;=0,"Pagado",IF(K339&gt;L339,"Atrasado","Al dia")))</f>
        <v/>
      </c>
    </row>
    <row r="340">
      <c r="A340" s="11">
        <f>IF(B340="","","P"&amp;TEXT(ROW()-1,"000"))</f>
        <v/>
      </c>
      <c r="B340" s="12" t="n"/>
      <c r="C340" s="13" t="n"/>
      <c r="D340" s="14" t="n"/>
      <c r="E340" s="15" t="n"/>
      <c r="F340" s="12" t="n"/>
      <c r="G340" s="16">
        <f>IF(B340="","",D340-SUMIFS(Pagos!$H:$H,Pagos!$B:$B,A340))</f>
        <v/>
      </c>
      <c r="H340" s="16">
        <f>IF(B340="","",SUMIFS(Pagos!$E:$E,Pagos!$B:$B,A340))</f>
        <v/>
      </c>
      <c r="I340" s="16">
        <f>IF(B340="","",SUMIFS(Pagos!$G:$G,Pagos!$B:$B,A340))</f>
        <v/>
      </c>
      <c r="J340" s="17">
        <f>IF(B340="","",IF(COUNTIF(Pagos!$B:$B,A340)=0,"",_xlfn.MAXIFS(Pagos!$D:$D,Pagos!$B:$B,A340)))</f>
        <v/>
      </c>
      <c r="K340" s="11">
        <f>IF(B340="","",IF(J340="",TODAY()-C340,TODAY()-J340))</f>
        <v/>
      </c>
      <c r="L340" s="11">
        <f>IF(B340="","",IF(F340="Diario",1,IF(F340="Semanal",7,IF(F340="Quincenal",15,IF(F340="Mensual",30,30))))+Resumen!$B$2)</f>
        <v/>
      </c>
      <c r="M340" s="11">
        <f>IF(B340="","",IF(G340&lt;=0,"Pagado",IF(K340&gt;L340,"Atrasado","Al dia")))</f>
        <v/>
      </c>
    </row>
    <row r="341">
      <c r="A341" s="11">
        <f>IF(B341="","","P"&amp;TEXT(ROW()-1,"000"))</f>
        <v/>
      </c>
      <c r="B341" s="12" t="n"/>
      <c r="C341" s="13" t="n"/>
      <c r="D341" s="14" t="n"/>
      <c r="E341" s="15" t="n"/>
      <c r="F341" s="12" t="n"/>
      <c r="G341" s="16">
        <f>IF(B341="","",D341-SUMIFS(Pagos!$H:$H,Pagos!$B:$B,A341))</f>
        <v/>
      </c>
      <c r="H341" s="16">
        <f>IF(B341="","",SUMIFS(Pagos!$E:$E,Pagos!$B:$B,A341))</f>
        <v/>
      </c>
      <c r="I341" s="16">
        <f>IF(B341="","",SUMIFS(Pagos!$G:$G,Pagos!$B:$B,A341))</f>
        <v/>
      </c>
      <c r="J341" s="17">
        <f>IF(B341="","",IF(COUNTIF(Pagos!$B:$B,A341)=0,"",_xlfn.MAXIFS(Pagos!$D:$D,Pagos!$B:$B,A341)))</f>
        <v/>
      </c>
      <c r="K341" s="11">
        <f>IF(B341="","",IF(J341="",TODAY()-C341,TODAY()-J341))</f>
        <v/>
      </c>
      <c r="L341" s="11">
        <f>IF(B341="","",IF(F341="Diario",1,IF(F341="Semanal",7,IF(F341="Quincenal",15,IF(F341="Mensual",30,30))))+Resumen!$B$2)</f>
        <v/>
      </c>
      <c r="M341" s="11">
        <f>IF(B341="","",IF(G341&lt;=0,"Pagado",IF(K341&gt;L341,"Atrasado","Al dia")))</f>
        <v/>
      </c>
    </row>
    <row r="342">
      <c r="A342" s="11">
        <f>IF(B342="","","P"&amp;TEXT(ROW()-1,"000"))</f>
        <v/>
      </c>
      <c r="B342" s="12" t="n"/>
      <c r="C342" s="13" t="n"/>
      <c r="D342" s="14" t="n"/>
      <c r="E342" s="15" t="n"/>
      <c r="F342" s="12" t="n"/>
      <c r="G342" s="16">
        <f>IF(B342="","",D342-SUMIFS(Pagos!$H:$H,Pagos!$B:$B,A342))</f>
        <v/>
      </c>
      <c r="H342" s="16">
        <f>IF(B342="","",SUMIFS(Pagos!$E:$E,Pagos!$B:$B,A342))</f>
        <v/>
      </c>
      <c r="I342" s="16">
        <f>IF(B342="","",SUMIFS(Pagos!$G:$G,Pagos!$B:$B,A342))</f>
        <v/>
      </c>
      <c r="J342" s="17">
        <f>IF(B342="","",IF(COUNTIF(Pagos!$B:$B,A342)=0,"",_xlfn.MAXIFS(Pagos!$D:$D,Pagos!$B:$B,A342)))</f>
        <v/>
      </c>
      <c r="K342" s="11">
        <f>IF(B342="","",IF(J342="",TODAY()-C342,TODAY()-J342))</f>
        <v/>
      </c>
      <c r="L342" s="11">
        <f>IF(B342="","",IF(F342="Diario",1,IF(F342="Semanal",7,IF(F342="Quincenal",15,IF(F342="Mensual",30,30))))+Resumen!$B$2)</f>
        <v/>
      </c>
      <c r="M342" s="11">
        <f>IF(B342="","",IF(G342&lt;=0,"Pagado",IF(K342&gt;L342,"Atrasado","Al dia")))</f>
        <v/>
      </c>
    </row>
    <row r="343">
      <c r="A343" s="11">
        <f>IF(B343="","","P"&amp;TEXT(ROW()-1,"000"))</f>
        <v/>
      </c>
      <c r="B343" s="12" t="n"/>
      <c r="C343" s="13" t="n"/>
      <c r="D343" s="14" t="n"/>
      <c r="E343" s="15" t="n"/>
      <c r="F343" s="12" t="n"/>
      <c r="G343" s="16">
        <f>IF(B343="","",D343-SUMIFS(Pagos!$H:$H,Pagos!$B:$B,A343))</f>
        <v/>
      </c>
      <c r="H343" s="16">
        <f>IF(B343="","",SUMIFS(Pagos!$E:$E,Pagos!$B:$B,A343))</f>
        <v/>
      </c>
      <c r="I343" s="16">
        <f>IF(B343="","",SUMIFS(Pagos!$G:$G,Pagos!$B:$B,A343))</f>
        <v/>
      </c>
      <c r="J343" s="17">
        <f>IF(B343="","",IF(COUNTIF(Pagos!$B:$B,A343)=0,"",_xlfn.MAXIFS(Pagos!$D:$D,Pagos!$B:$B,A343)))</f>
        <v/>
      </c>
      <c r="K343" s="11">
        <f>IF(B343="","",IF(J343="",TODAY()-C343,TODAY()-J343))</f>
        <v/>
      </c>
      <c r="L343" s="11">
        <f>IF(B343="","",IF(F343="Diario",1,IF(F343="Semanal",7,IF(F343="Quincenal",15,IF(F343="Mensual",30,30))))+Resumen!$B$2)</f>
        <v/>
      </c>
      <c r="M343" s="11">
        <f>IF(B343="","",IF(G343&lt;=0,"Pagado",IF(K343&gt;L343,"Atrasado","Al dia")))</f>
        <v/>
      </c>
    </row>
    <row r="344">
      <c r="A344" s="11">
        <f>IF(B344="","","P"&amp;TEXT(ROW()-1,"000"))</f>
        <v/>
      </c>
      <c r="B344" s="12" t="n"/>
      <c r="C344" s="13" t="n"/>
      <c r="D344" s="14" t="n"/>
      <c r="E344" s="15" t="n"/>
      <c r="F344" s="12" t="n"/>
      <c r="G344" s="16">
        <f>IF(B344="","",D344-SUMIFS(Pagos!$H:$H,Pagos!$B:$B,A344))</f>
        <v/>
      </c>
      <c r="H344" s="16">
        <f>IF(B344="","",SUMIFS(Pagos!$E:$E,Pagos!$B:$B,A344))</f>
        <v/>
      </c>
      <c r="I344" s="16">
        <f>IF(B344="","",SUMIFS(Pagos!$G:$G,Pagos!$B:$B,A344))</f>
        <v/>
      </c>
      <c r="J344" s="17">
        <f>IF(B344="","",IF(COUNTIF(Pagos!$B:$B,A344)=0,"",_xlfn.MAXIFS(Pagos!$D:$D,Pagos!$B:$B,A344)))</f>
        <v/>
      </c>
      <c r="K344" s="11">
        <f>IF(B344="","",IF(J344="",TODAY()-C344,TODAY()-J344))</f>
        <v/>
      </c>
      <c r="L344" s="11">
        <f>IF(B344="","",IF(F344="Diario",1,IF(F344="Semanal",7,IF(F344="Quincenal",15,IF(F344="Mensual",30,30))))+Resumen!$B$2)</f>
        <v/>
      </c>
      <c r="M344" s="11">
        <f>IF(B344="","",IF(G344&lt;=0,"Pagado",IF(K344&gt;L344,"Atrasado","Al dia")))</f>
        <v/>
      </c>
    </row>
    <row r="345">
      <c r="A345" s="11">
        <f>IF(B345="","","P"&amp;TEXT(ROW()-1,"000"))</f>
        <v/>
      </c>
      <c r="B345" s="12" t="n"/>
      <c r="C345" s="13" t="n"/>
      <c r="D345" s="14" t="n"/>
      <c r="E345" s="15" t="n"/>
      <c r="F345" s="12" t="n"/>
      <c r="G345" s="16">
        <f>IF(B345="","",D345-SUMIFS(Pagos!$H:$H,Pagos!$B:$B,A345))</f>
        <v/>
      </c>
      <c r="H345" s="16">
        <f>IF(B345="","",SUMIFS(Pagos!$E:$E,Pagos!$B:$B,A345))</f>
        <v/>
      </c>
      <c r="I345" s="16">
        <f>IF(B345="","",SUMIFS(Pagos!$G:$G,Pagos!$B:$B,A345))</f>
        <v/>
      </c>
      <c r="J345" s="17">
        <f>IF(B345="","",IF(COUNTIF(Pagos!$B:$B,A345)=0,"",_xlfn.MAXIFS(Pagos!$D:$D,Pagos!$B:$B,A345)))</f>
        <v/>
      </c>
      <c r="K345" s="11">
        <f>IF(B345="","",IF(J345="",TODAY()-C345,TODAY()-J345))</f>
        <v/>
      </c>
      <c r="L345" s="11">
        <f>IF(B345="","",IF(F345="Diario",1,IF(F345="Semanal",7,IF(F345="Quincenal",15,IF(F345="Mensual",30,30))))+Resumen!$B$2)</f>
        <v/>
      </c>
      <c r="M345" s="11">
        <f>IF(B345="","",IF(G345&lt;=0,"Pagado",IF(K345&gt;L345,"Atrasado","Al dia")))</f>
        <v/>
      </c>
    </row>
    <row r="346">
      <c r="A346" s="11">
        <f>IF(B346="","","P"&amp;TEXT(ROW()-1,"000"))</f>
        <v/>
      </c>
      <c r="B346" s="12" t="n"/>
      <c r="C346" s="13" t="n"/>
      <c r="D346" s="14" t="n"/>
      <c r="E346" s="15" t="n"/>
      <c r="F346" s="12" t="n"/>
      <c r="G346" s="16">
        <f>IF(B346="","",D346-SUMIFS(Pagos!$H:$H,Pagos!$B:$B,A346))</f>
        <v/>
      </c>
      <c r="H346" s="16">
        <f>IF(B346="","",SUMIFS(Pagos!$E:$E,Pagos!$B:$B,A346))</f>
        <v/>
      </c>
      <c r="I346" s="16">
        <f>IF(B346="","",SUMIFS(Pagos!$G:$G,Pagos!$B:$B,A346))</f>
        <v/>
      </c>
      <c r="J346" s="17">
        <f>IF(B346="","",IF(COUNTIF(Pagos!$B:$B,A346)=0,"",_xlfn.MAXIFS(Pagos!$D:$D,Pagos!$B:$B,A346)))</f>
        <v/>
      </c>
      <c r="K346" s="11">
        <f>IF(B346="","",IF(J346="",TODAY()-C346,TODAY()-J346))</f>
        <v/>
      </c>
      <c r="L346" s="11">
        <f>IF(B346="","",IF(F346="Diario",1,IF(F346="Semanal",7,IF(F346="Quincenal",15,IF(F346="Mensual",30,30))))+Resumen!$B$2)</f>
        <v/>
      </c>
      <c r="M346" s="11">
        <f>IF(B346="","",IF(G346&lt;=0,"Pagado",IF(K346&gt;L346,"Atrasado","Al dia")))</f>
        <v/>
      </c>
    </row>
    <row r="347">
      <c r="A347" s="11">
        <f>IF(B347="","","P"&amp;TEXT(ROW()-1,"000"))</f>
        <v/>
      </c>
      <c r="B347" s="12" t="n"/>
      <c r="C347" s="13" t="n"/>
      <c r="D347" s="14" t="n"/>
      <c r="E347" s="15" t="n"/>
      <c r="F347" s="12" t="n"/>
      <c r="G347" s="16">
        <f>IF(B347="","",D347-SUMIFS(Pagos!$H:$H,Pagos!$B:$B,A347))</f>
        <v/>
      </c>
      <c r="H347" s="16">
        <f>IF(B347="","",SUMIFS(Pagos!$E:$E,Pagos!$B:$B,A347))</f>
        <v/>
      </c>
      <c r="I347" s="16">
        <f>IF(B347="","",SUMIFS(Pagos!$G:$G,Pagos!$B:$B,A347))</f>
        <v/>
      </c>
      <c r="J347" s="17">
        <f>IF(B347="","",IF(COUNTIF(Pagos!$B:$B,A347)=0,"",_xlfn.MAXIFS(Pagos!$D:$D,Pagos!$B:$B,A347)))</f>
        <v/>
      </c>
      <c r="K347" s="11">
        <f>IF(B347="","",IF(J347="",TODAY()-C347,TODAY()-J347))</f>
        <v/>
      </c>
      <c r="L347" s="11">
        <f>IF(B347="","",IF(F347="Diario",1,IF(F347="Semanal",7,IF(F347="Quincenal",15,IF(F347="Mensual",30,30))))+Resumen!$B$2)</f>
        <v/>
      </c>
      <c r="M347" s="11">
        <f>IF(B347="","",IF(G347&lt;=0,"Pagado",IF(K347&gt;L347,"Atrasado","Al dia")))</f>
        <v/>
      </c>
    </row>
    <row r="348">
      <c r="A348" s="11">
        <f>IF(B348="","","P"&amp;TEXT(ROW()-1,"000"))</f>
        <v/>
      </c>
      <c r="B348" s="12" t="n"/>
      <c r="C348" s="13" t="n"/>
      <c r="D348" s="14" t="n"/>
      <c r="E348" s="15" t="n"/>
      <c r="F348" s="12" t="n"/>
      <c r="G348" s="16">
        <f>IF(B348="","",D348-SUMIFS(Pagos!$H:$H,Pagos!$B:$B,A348))</f>
        <v/>
      </c>
      <c r="H348" s="16">
        <f>IF(B348="","",SUMIFS(Pagos!$E:$E,Pagos!$B:$B,A348))</f>
        <v/>
      </c>
      <c r="I348" s="16">
        <f>IF(B348="","",SUMIFS(Pagos!$G:$G,Pagos!$B:$B,A348))</f>
        <v/>
      </c>
      <c r="J348" s="17">
        <f>IF(B348="","",IF(COUNTIF(Pagos!$B:$B,A348)=0,"",_xlfn.MAXIFS(Pagos!$D:$D,Pagos!$B:$B,A348)))</f>
        <v/>
      </c>
      <c r="K348" s="11">
        <f>IF(B348="","",IF(J348="",TODAY()-C348,TODAY()-J348))</f>
        <v/>
      </c>
      <c r="L348" s="11">
        <f>IF(B348="","",IF(F348="Diario",1,IF(F348="Semanal",7,IF(F348="Quincenal",15,IF(F348="Mensual",30,30))))+Resumen!$B$2)</f>
        <v/>
      </c>
      <c r="M348" s="11">
        <f>IF(B348="","",IF(G348&lt;=0,"Pagado",IF(K348&gt;L348,"Atrasado","Al dia")))</f>
        <v/>
      </c>
    </row>
    <row r="349">
      <c r="A349" s="11">
        <f>IF(B349="","","P"&amp;TEXT(ROW()-1,"000"))</f>
        <v/>
      </c>
      <c r="B349" s="12" t="n"/>
      <c r="C349" s="13" t="n"/>
      <c r="D349" s="14" t="n"/>
      <c r="E349" s="15" t="n"/>
      <c r="F349" s="12" t="n"/>
      <c r="G349" s="16">
        <f>IF(B349="","",D349-SUMIFS(Pagos!$H:$H,Pagos!$B:$B,A349))</f>
        <v/>
      </c>
      <c r="H349" s="16">
        <f>IF(B349="","",SUMIFS(Pagos!$E:$E,Pagos!$B:$B,A349))</f>
        <v/>
      </c>
      <c r="I349" s="16">
        <f>IF(B349="","",SUMIFS(Pagos!$G:$G,Pagos!$B:$B,A349))</f>
        <v/>
      </c>
      <c r="J349" s="17">
        <f>IF(B349="","",IF(COUNTIF(Pagos!$B:$B,A349)=0,"",_xlfn.MAXIFS(Pagos!$D:$D,Pagos!$B:$B,A349)))</f>
        <v/>
      </c>
      <c r="K349" s="11">
        <f>IF(B349="","",IF(J349="",TODAY()-C349,TODAY()-J349))</f>
        <v/>
      </c>
      <c r="L349" s="11">
        <f>IF(B349="","",IF(F349="Diario",1,IF(F349="Semanal",7,IF(F349="Quincenal",15,IF(F349="Mensual",30,30))))+Resumen!$B$2)</f>
        <v/>
      </c>
      <c r="M349" s="11">
        <f>IF(B349="","",IF(G349&lt;=0,"Pagado",IF(K349&gt;L349,"Atrasado","Al dia")))</f>
        <v/>
      </c>
    </row>
    <row r="350">
      <c r="A350" s="11">
        <f>IF(B350="","","P"&amp;TEXT(ROW()-1,"000"))</f>
        <v/>
      </c>
      <c r="B350" s="12" t="n"/>
      <c r="C350" s="13" t="n"/>
      <c r="D350" s="14" t="n"/>
      <c r="E350" s="15" t="n"/>
      <c r="F350" s="12" t="n"/>
      <c r="G350" s="16">
        <f>IF(B350="","",D350-SUMIFS(Pagos!$H:$H,Pagos!$B:$B,A350))</f>
        <v/>
      </c>
      <c r="H350" s="16">
        <f>IF(B350="","",SUMIFS(Pagos!$E:$E,Pagos!$B:$B,A350))</f>
        <v/>
      </c>
      <c r="I350" s="16">
        <f>IF(B350="","",SUMIFS(Pagos!$G:$G,Pagos!$B:$B,A350))</f>
        <v/>
      </c>
      <c r="J350" s="17">
        <f>IF(B350="","",IF(COUNTIF(Pagos!$B:$B,A350)=0,"",_xlfn.MAXIFS(Pagos!$D:$D,Pagos!$B:$B,A350)))</f>
        <v/>
      </c>
      <c r="K350" s="11">
        <f>IF(B350="","",IF(J350="",TODAY()-C350,TODAY()-J350))</f>
        <v/>
      </c>
      <c r="L350" s="11">
        <f>IF(B350="","",IF(F350="Diario",1,IF(F350="Semanal",7,IF(F350="Quincenal",15,IF(F350="Mensual",30,30))))+Resumen!$B$2)</f>
        <v/>
      </c>
      <c r="M350" s="11">
        <f>IF(B350="","",IF(G350&lt;=0,"Pagado",IF(K350&gt;L350,"Atrasado","Al dia")))</f>
        <v/>
      </c>
    </row>
    <row r="351">
      <c r="A351" s="11">
        <f>IF(B351="","","P"&amp;TEXT(ROW()-1,"000"))</f>
        <v/>
      </c>
      <c r="B351" s="12" t="n"/>
      <c r="C351" s="13" t="n"/>
      <c r="D351" s="14" t="n"/>
      <c r="E351" s="15" t="n"/>
      <c r="F351" s="12" t="n"/>
      <c r="G351" s="16">
        <f>IF(B351="","",D351-SUMIFS(Pagos!$H:$H,Pagos!$B:$B,A351))</f>
        <v/>
      </c>
      <c r="H351" s="16">
        <f>IF(B351="","",SUMIFS(Pagos!$E:$E,Pagos!$B:$B,A351))</f>
        <v/>
      </c>
      <c r="I351" s="16">
        <f>IF(B351="","",SUMIFS(Pagos!$G:$G,Pagos!$B:$B,A351))</f>
        <v/>
      </c>
      <c r="J351" s="17">
        <f>IF(B351="","",IF(COUNTIF(Pagos!$B:$B,A351)=0,"",_xlfn.MAXIFS(Pagos!$D:$D,Pagos!$B:$B,A351)))</f>
        <v/>
      </c>
      <c r="K351" s="11">
        <f>IF(B351="","",IF(J351="",TODAY()-C351,TODAY()-J351))</f>
        <v/>
      </c>
      <c r="L351" s="11">
        <f>IF(B351="","",IF(F351="Diario",1,IF(F351="Semanal",7,IF(F351="Quincenal",15,IF(F351="Mensual",30,30))))+Resumen!$B$2)</f>
        <v/>
      </c>
      <c r="M351" s="11">
        <f>IF(B351="","",IF(G351&lt;=0,"Pagado",IF(K351&gt;L351,"Atrasado","Al dia")))</f>
        <v/>
      </c>
    </row>
    <row r="352">
      <c r="A352" s="11">
        <f>IF(B352="","","P"&amp;TEXT(ROW()-1,"000"))</f>
        <v/>
      </c>
      <c r="B352" s="12" t="n"/>
      <c r="C352" s="13" t="n"/>
      <c r="D352" s="14" t="n"/>
      <c r="E352" s="15" t="n"/>
      <c r="F352" s="12" t="n"/>
      <c r="G352" s="16">
        <f>IF(B352="","",D352-SUMIFS(Pagos!$H:$H,Pagos!$B:$B,A352))</f>
        <v/>
      </c>
      <c r="H352" s="16">
        <f>IF(B352="","",SUMIFS(Pagos!$E:$E,Pagos!$B:$B,A352))</f>
        <v/>
      </c>
      <c r="I352" s="16">
        <f>IF(B352="","",SUMIFS(Pagos!$G:$G,Pagos!$B:$B,A352))</f>
        <v/>
      </c>
      <c r="J352" s="17">
        <f>IF(B352="","",IF(COUNTIF(Pagos!$B:$B,A352)=0,"",_xlfn.MAXIFS(Pagos!$D:$D,Pagos!$B:$B,A352)))</f>
        <v/>
      </c>
      <c r="K352" s="11">
        <f>IF(B352="","",IF(J352="",TODAY()-C352,TODAY()-J352))</f>
        <v/>
      </c>
      <c r="L352" s="11">
        <f>IF(B352="","",IF(F352="Diario",1,IF(F352="Semanal",7,IF(F352="Quincenal",15,IF(F352="Mensual",30,30))))+Resumen!$B$2)</f>
        <v/>
      </c>
      <c r="M352" s="11">
        <f>IF(B352="","",IF(G352&lt;=0,"Pagado",IF(K352&gt;L352,"Atrasado","Al dia")))</f>
        <v/>
      </c>
    </row>
    <row r="353">
      <c r="A353" s="11">
        <f>IF(B353="","","P"&amp;TEXT(ROW()-1,"000"))</f>
        <v/>
      </c>
      <c r="B353" s="12" t="n"/>
      <c r="C353" s="13" t="n"/>
      <c r="D353" s="14" t="n"/>
      <c r="E353" s="15" t="n"/>
      <c r="F353" s="12" t="n"/>
      <c r="G353" s="16">
        <f>IF(B353="","",D353-SUMIFS(Pagos!$H:$H,Pagos!$B:$B,A353))</f>
        <v/>
      </c>
      <c r="H353" s="16">
        <f>IF(B353="","",SUMIFS(Pagos!$E:$E,Pagos!$B:$B,A353))</f>
        <v/>
      </c>
      <c r="I353" s="16">
        <f>IF(B353="","",SUMIFS(Pagos!$G:$G,Pagos!$B:$B,A353))</f>
        <v/>
      </c>
      <c r="J353" s="17">
        <f>IF(B353="","",IF(COUNTIF(Pagos!$B:$B,A353)=0,"",_xlfn.MAXIFS(Pagos!$D:$D,Pagos!$B:$B,A353)))</f>
        <v/>
      </c>
      <c r="K353" s="11">
        <f>IF(B353="","",IF(J353="",TODAY()-C353,TODAY()-J353))</f>
        <v/>
      </c>
      <c r="L353" s="11">
        <f>IF(B353="","",IF(F353="Diario",1,IF(F353="Semanal",7,IF(F353="Quincenal",15,IF(F353="Mensual",30,30))))+Resumen!$B$2)</f>
        <v/>
      </c>
      <c r="M353" s="11">
        <f>IF(B353="","",IF(G353&lt;=0,"Pagado",IF(K353&gt;L353,"Atrasado","Al dia")))</f>
        <v/>
      </c>
    </row>
    <row r="354">
      <c r="A354" s="11">
        <f>IF(B354="","","P"&amp;TEXT(ROW()-1,"000"))</f>
        <v/>
      </c>
      <c r="B354" s="12" t="n"/>
      <c r="C354" s="13" t="n"/>
      <c r="D354" s="14" t="n"/>
      <c r="E354" s="15" t="n"/>
      <c r="F354" s="12" t="n"/>
      <c r="G354" s="16">
        <f>IF(B354="","",D354-SUMIFS(Pagos!$H:$H,Pagos!$B:$B,A354))</f>
        <v/>
      </c>
      <c r="H354" s="16">
        <f>IF(B354="","",SUMIFS(Pagos!$E:$E,Pagos!$B:$B,A354))</f>
        <v/>
      </c>
      <c r="I354" s="16">
        <f>IF(B354="","",SUMIFS(Pagos!$G:$G,Pagos!$B:$B,A354))</f>
        <v/>
      </c>
      <c r="J354" s="17">
        <f>IF(B354="","",IF(COUNTIF(Pagos!$B:$B,A354)=0,"",_xlfn.MAXIFS(Pagos!$D:$D,Pagos!$B:$B,A354)))</f>
        <v/>
      </c>
      <c r="K354" s="11">
        <f>IF(B354="","",IF(J354="",TODAY()-C354,TODAY()-J354))</f>
        <v/>
      </c>
      <c r="L354" s="11">
        <f>IF(B354="","",IF(F354="Diario",1,IF(F354="Semanal",7,IF(F354="Quincenal",15,IF(F354="Mensual",30,30))))+Resumen!$B$2)</f>
        <v/>
      </c>
      <c r="M354" s="11">
        <f>IF(B354="","",IF(G354&lt;=0,"Pagado",IF(K354&gt;L354,"Atrasado","Al dia")))</f>
        <v/>
      </c>
    </row>
    <row r="355">
      <c r="A355" s="11">
        <f>IF(B355="","","P"&amp;TEXT(ROW()-1,"000"))</f>
        <v/>
      </c>
      <c r="B355" s="12" t="n"/>
      <c r="C355" s="13" t="n"/>
      <c r="D355" s="14" t="n"/>
      <c r="E355" s="15" t="n"/>
      <c r="F355" s="12" t="n"/>
      <c r="G355" s="16">
        <f>IF(B355="","",D355-SUMIFS(Pagos!$H:$H,Pagos!$B:$B,A355))</f>
        <v/>
      </c>
      <c r="H355" s="16">
        <f>IF(B355="","",SUMIFS(Pagos!$E:$E,Pagos!$B:$B,A355))</f>
        <v/>
      </c>
      <c r="I355" s="16">
        <f>IF(B355="","",SUMIFS(Pagos!$G:$G,Pagos!$B:$B,A355))</f>
        <v/>
      </c>
      <c r="J355" s="17">
        <f>IF(B355="","",IF(COUNTIF(Pagos!$B:$B,A355)=0,"",_xlfn.MAXIFS(Pagos!$D:$D,Pagos!$B:$B,A355)))</f>
        <v/>
      </c>
      <c r="K355" s="11">
        <f>IF(B355="","",IF(J355="",TODAY()-C355,TODAY()-J355))</f>
        <v/>
      </c>
      <c r="L355" s="11">
        <f>IF(B355="","",IF(F355="Diario",1,IF(F355="Semanal",7,IF(F355="Quincenal",15,IF(F355="Mensual",30,30))))+Resumen!$B$2)</f>
        <v/>
      </c>
      <c r="M355" s="11">
        <f>IF(B355="","",IF(G355&lt;=0,"Pagado",IF(K355&gt;L355,"Atrasado","Al dia")))</f>
        <v/>
      </c>
    </row>
    <row r="356">
      <c r="A356" s="11">
        <f>IF(B356="","","P"&amp;TEXT(ROW()-1,"000"))</f>
        <v/>
      </c>
      <c r="B356" s="12" t="n"/>
      <c r="C356" s="13" t="n"/>
      <c r="D356" s="14" t="n"/>
      <c r="E356" s="15" t="n"/>
      <c r="F356" s="12" t="n"/>
      <c r="G356" s="16">
        <f>IF(B356="","",D356-SUMIFS(Pagos!$H:$H,Pagos!$B:$B,A356))</f>
        <v/>
      </c>
      <c r="H356" s="16">
        <f>IF(B356="","",SUMIFS(Pagos!$E:$E,Pagos!$B:$B,A356))</f>
        <v/>
      </c>
      <c r="I356" s="16">
        <f>IF(B356="","",SUMIFS(Pagos!$G:$G,Pagos!$B:$B,A356))</f>
        <v/>
      </c>
      <c r="J356" s="17">
        <f>IF(B356="","",IF(COUNTIF(Pagos!$B:$B,A356)=0,"",_xlfn.MAXIFS(Pagos!$D:$D,Pagos!$B:$B,A356)))</f>
        <v/>
      </c>
      <c r="K356" s="11">
        <f>IF(B356="","",IF(J356="",TODAY()-C356,TODAY()-J356))</f>
        <v/>
      </c>
      <c r="L356" s="11">
        <f>IF(B356="","",IF(F356="Diario",1,IF(F356="Semanal",7,IF(F356="Quincenal",15,IF(F356="Mensual",30,30))))+Resumen!$B$2)</f>
        <v/>
      </c>
      <c r="M356" s="11">
        <f>IF(B356="","",IF(G356&lt;=0,"Pagado",IF(K356&gt;L356,"Atrasado","Al dia")))</f>
        <v/>
      </c>
    </row>
    <row r="357">
      <c r="A357" s="11">
        <f>IF(B357="","","P"&amp;TEXT(ROW()-1,"000"))</f>
        <v/>
      </c>
      <c r="B357" s="12" t="n"/>
      <c r="C357" s="13" t="n"/>
      <c r="D357" s="14" t="n"/>
      <c r="E357" s="15" t="n"/>
      <c r="F357" s="12" t="n"/>
      <c r="G357" s="16">
        <f>IF(B357="","",D357-SUMIFS(Pagos!$H:$H,Pagos!$B:$B,A357))</f>
        <v/>
      </c>
      <c r="H357" s="16">
        <f>IF(B357="","",SUMIFS(Pagos!$E:$E,Pagos!$B:$B,A357))</f>
        <v/>
      </c>
      <c r="I357" s="16">
        <f>IF(B357="","",SUMIFS(Pagos!$G:$G,Pagos!$B:$B,A357))</f>
        <v/>
      </c>
      <c r="J357" s="17">
        <f>IF(B357="","",IF(COUNTIF(Pagos!$B:$B,A357)=0,"",_xlfn.MAXIFS(Pagos!$D:$D,Pagos!$B:$B,A357)))</f>
        <v/>
      </c>
      <c r="K357" s="11">
        <f>IF(B357="","",IF(J357="",TODAY()-C357,TODAY()-J357))</f>
        <v/>
      </c>
      <c r="L357" s="11">
        <f>IF(B357="","",IF(F357="Diario",1,IF(F357="Semanal",7,IF(F357="Quincenal",15,IF(F357="Mensual",30,30))))+Resumen!$B$2)</f>
        <v/>
      </c>
      <c r="M357" s="11">
        <f>IF(B357="","",IF(G357&lt;=0,"Pagado",IF(K357&gt;L357,"Atrasado","Al dia")))</f>
        <v/>
      </c>
    </row>
    <row r="358">
      <c r="A358" s="11">
        <f>IF(B358="","","P"&amp;TEXT(ROW()-1,"000"))</f>
        <v/>
      </c>
      <c r="B358" s="12" t="n"/>
      <c r="C358" s="13" t="n"/>
      <c r="D358" s="14" t="n"/>
      <c r="E358" s="15" t="n"/>
      <c r="F358" s="12" t="n"/>
      <c r="G358" s="16">
        <f>IF(B358="","",D358-SUMIFS(Pagos!$H:$H,Pagos!$B:$B,A358))</f>
        <v/>
      </c>
      <c r="H358" s="16">
        <f>IF(B358="","",SUMIFS(Pagos!$E:$E,Pagos!$B:$B,A358))</f>
        <v/>
      </c>
      <c r="I358" s="16">
        <f>IF(B358="","",SUMIFS(Pagos!$G:$G,Pagos!$B:$B,A358))</f>
        <v/>
      </c>
      <c r="J358" s="17">
        <f>IF(B358="","",IF(COUNTIF(Pagos!$B:$B,A358)=0,"",_xlfn.MAXIFS(Pagos!$D:$D,Pagos!$B:$B,A358)))</f>
        <v/>
      </c>
      <c r="K358" s="11">
        <f>IF(B358="","",IF(J358="",TODAY()-C358,TODAY()-J358))</f>
        <v/>
      </c>
      <c r="L358" s="11">
        <f>IF(B358="","",IF(F358="Diario",1,IF(F358="Semanal",7,IF(F358="Quincenal",15,IF(F358="Mensual",30,30))))+Resumen!$B$2)</f>
        <v/>
      </c>
      <c r="M358" s="11">
        <f>IF(B358="","",IF(G358&lt;=0,"Pagado",IF(K358&gt;L358,"Atrasado","Al dia")))</f>
        <v/>
      </c>
    </row>
    <row r="359">
      <c r="A359" s="11">
        <f>IF(B359="","","P"&amp;TEXT(ROW()-1,"000"))</f>
        <v/>
      </c>
      <c r="B359" s="12" t="n"/>
      <c r="C359" s="13" t="n"/>
      <c r="D359" s="14" t="n"/>
      <c r="E359" s="15" t="n"/>
      <c r="F359" s="12" t="n"/>
      <c r="G359" s="16">
        <f>IF(B359="","",D359-SUMIFS(Pagos!$H:$H,Pagos!$B:$B,A359))</f>
        <v/>
      </c>
      <c r="H359" s="16">
        <f>IF(B359="","",SUMIFS(Pagos!$E:$E,Pagos!$B:$B,A359))</f>
        <v/>
      </c>
      <c r="I359" s="16">
        <f>IF(B359="","",SUMIFS(Pagos!$G:$G,Pagos!$B:$B,A359))</f>
        <v/>
      </c>
      <c r="J359" s="17">
        <f>IF(B359="","",IF(COUNTIF(Pagos!$B:$B,A359)=0,"",_xlfn.MAXIFS(Pagos!$D:$D,Pagos!$B:$B,A359)))</f>
        <v/>
      </c>
      <c r="K359" s="11">
        <f>IF(B359="","",IF(J359="",TODAY()-C359,TODAY()-J359))</f>
        <v/>
      </c>
      <c r="L359" s="11">
        <f>IF(B359="","",IF(F359="Diario",1,IF(F359="Semanal",7,IF(F359="Quincenal",15,IF(F359="Mensual",30,30))))+Resumen!$B$2)</f>
        <v/>
      </c>
      <c r="M359" s="11">
        <f>IF(B359="","",IF(G359&lt;=0,"Pagado",IF(K359&gt;L359,"Atrasado","Al dia")))</f>
        <v/>
      </c>
    </row>
    <row r="360">
      <c r="A360" s="11">
        <f>IF(B360="","","P"&amp;TEXT(ROW()-1,"000"))</f>
        <v/>
      </c>
      <c r="B360" s="12" t="n"/>
      <c r="C360" s="13" t="n"/>
      <c r="D360" s="14" t="n"/>
      <c r="E360" s="15" t="n"/>
      <c r="F360" s="12" t="n"/>
      <c r="G360" s="16">
        <f>IF(B360="","",D360-SUMIFS(Pagos!$H:$H,Pagos!$B:$B,A360))</f>
        <v/>
      </c>
      <c r="H360" s="16">
        <f>IF(B360="","",SUMIFS(Pagos!$E:$E,Pagos!$B:$B,A360))</f>
        <v/>
      </c>
      <c r="I360" s="16">
        <f>IF(B360="","",SUMIFS(Pagos!$G:$G,Pagos!$B:$B,A360))</f>
        <v/>
      </c>
      <c r="J360" s="17">
        <f>IF(B360="","",IF(COUNTIF(Pagos!$B:$B,A360)=0,"",_xlfn.MAXIFS(Pagos!$D:$D,Pagos!$B:$B,A360)))</f>
        <v/>
      </c>
      <c r="K360" s="11">
        <f>IF(B360="","",IF(J360="",TODAY()-C360,TODAY()-J360))</f>
        <v/>
      </c>
      <c r="L360" s="11">
        <f>IF(B360="","",IF(F360="Diario",1,IF(F360="Semanal",7,IF(F360="Quincenal",15,IF(F360="Mensual",30,30))))+Resumen!$B$2)</f>
        <v/>
      </c>
      <c r="M360" s="11">
        <f>IF(B360="","",IF(G360&lt;=0,"Pagado",IF(K360&gt;L360,"Atrasado","Al dia")))</f>
        <v/>
      </c>
    </row>
    <row r="361">
      <c r="A361" s="11">
        <f>IF(B361="","","P"&amp;TEXT(ROW()-1,"000"))</f>
        <v/>
      </c>
      <c r="B361" s="12" t="n"/>
      <c r="C361" s="13" t="n"/>
      <c r="D361" s="14" t="n"/>
      <c r="E361" s="15" t="n"/>
      <c r="F361" s="12" t="n"/>
      <c r="G361" s="16">
        <f>IF(B361="","",D361-SUMIFS(Pagos!$H:$H,Pagos!$B:$B,A361))</f>
        <v/>
      </c>
      <c r="H361" s="16">
        <f>IF(B361="","",SUMIFS(Pagos!$E:$E,Pagos!$B:$B,A361))</f>
        <v/>
      </c>
      <c r="I361" s="16">
        <f>IF(B361="","",SUMIFS(Pagos!$G:$G,Pagos!$B:$B,A361))</f>
        <v/>
      </c>
      <c r="J361" s="17">
        <f>IF(B361="","",IF(COUNTIF(Pagos!$B:$B,A361)=0,"",_xlfn.MAXIFS(Pagos!$D:$D,Pagos!$B:$B,A361)))</f>
        <v/>
      </c>
      <c r="K361" s="11">
        <f>IF(B361="","",IF(J361="",TODAY()-C361,TODAY()-J361))</f>
        <v/>
      </c>
      <c r="L361" s="11">
        <f>IF(B361="","",IF(F361="Diario",1,IF(F361="Semanal",7,IF(F361="Quincenal",15,IF(F361="Mensual",30,30))))+Resumen!$B$2)</f>
        <v/>
      </c>
      <c r="M361" s="11">
        <f>IF(B361="","",IF(G361&lt;=0,"Pagado",IF(K361&gt;L361,"Atrasado","Al dia")))</f>
        <v/>
      </c>
    </row>
    <row r="362">
      <c r="A362" s="11">
        <f>IF(B362="","","P"&amp;TEXT(ROW()-1,"000"))</f>
        <v/>
      </c>
      <c r="B362" s="12" t="n"/>
      <c r="C362" s="13" t="n"/>
      <c r="D362" s="14" t="n"/>
      <c r="E362" s="15" t="n"/>
      <c r="F362" s="12" t="n"/>
      <c r="G362" s="16">
        <f>IF(B362="","",D362-SUMIFS(Pagos!$H:$H,Pagos!$B:$B,A362))</f>
        <v/>
      </c>
      <c r="H362" s="16">
        <f>IF(B362="","",SUMIFS(Pagos!$E:$E,Pagos!$B:$B,A362))</f>
        <v/>
      </c>
      <c r="I362" s="16">
        <f>IF(B362="","",SUMIFS(Pagos!$G:$G,Pagos!$B:$B,A362))</f>
        <v/>
      </c>
      <c r="J362" s="17">
        <f>IF(B362="","",IF(COUNTIF(Pagos!$B:$B,A362)=0,"",_xlfn.MAXIFS(Pagos!$D:$D,Pagos!$B:$B,A362)))</f>
        <v/>
      </c>
      <c r="K362" s="11">
        <f>IF(B362="","",IF(J362="",TODAY()-C362,TODAY()-J362))</f>
        <v/>
      </c>
      <c r="L362" s="11">
        <f>IF(B362="","",IF(F362="Diario",1,IF(F362="Semanal",7,IF(F362="Quincenal",15,IF(F362="Mensual",30,30))))+Resumen!$B$2)</f>
        <v/>
      </c>
      <c r="M362" s="11">
        <f>IF(B362="","",IF(G362&lt;=0,"Pagado",IF(K362&gt;L362,"Atrasado","Al dia")))</f>
        <v/>
      </c>
    </row>
    <row r="363">
      <c r="A363" s="11">
        <f>IF(B363="","","P"&amp;TEXT(ROW()-1,"000"))</f>
        <v/>
      </c>
      <c r="B363" s="12" t="n"/>
      <c r="C363" s="13" t="n"/>
      <c r="D363" s="14" t="n"/>
      <c r="E363" s="15" t="n"/>
      <c r="F363" s="12" t="n"/>
      <c r="G363" s="16">
        <f>IF(B363="","",D363-SUMIFS(Pagos!$H:$H,Pagos!$B:$B,A363))</f>
        <v/>
      </c>
      <c r="H363" s="16">
        <f>IF(B363="","",SUMIFS(Pagos!$E:$E,Pagos!$B:$B,A363))</f>
        <v/>
      </c>
      <c r="I363" s="16">
        <f>IF(B363="","",SUMIFS(Pagos!$G:$G,Pagos!$B:$B,A363))</f>
        <v/>
      </c>
      <c r="J363" s="17">
        <f>IF(B363="","",IF(COUNTIF(Pagos!$B:$B,A363)=0,"",_xlfn.MAXIFS(Pagos!$D:$D,Pagos!$B:$B,A363)))</f>
        <v/>
      </c>
      <c r="K363" s="11">
        <f>IF(B363="","",IF(J363="",TODAY()-C363,TODAY()-J363))</f>
        <v/>
      </c>
      <c r="L363" s="11">
        <f>IF(B363="","",IF(F363="Diario",1,IF(F363="Semanal",7,IF(F363="Quincenal",15,IF(F363="Mensual",30,30))))+Resumen!$B$2)</f>
        <v/>
      </c>
      <c r="M363" s="11">
        <f>IF(B363="","",IF(G363&lt;=0,"Pagado",IF(K363&gt;L363,"Atrasado","Al dia")))</f>
        <v/>
      </c>
    </row>
    <row r="364">
      <c r="A364" s="11">
        <f>IF(B364="","","P"&amp;TEXT(ROW()-1,"000"))</f>
        <v/>
      </c>
      <c r="B364" s="12" t="n"/>
      <c r="C364" s="13" t="n"/>
      <c r="D364" s="14" t="n"/>
      <c r="E364" s="15" t="n"/>
      <c r="F364" s="12" t="n"/>
      <c r="G364" s="16">
        <f>IF(B364="","",D364-SUMIFS(Pagos!$H:$H,Pagos!$B:$B,A364))</f>
        <v/>
      </c>
      <c r="H364" s="16">
        <f>IF(B364="","",SUMIFS(Pagos!$E:$E,Pagos!$B:$B,A364))</f>
        <v/>
      </c>
      <c r="I364" s="16">
        <f>IF(B364="","",SUMIFS(Pagos!$G:$G,Pagos!$B:$B,A364))</f>
        <v/>
      </c>
      <c r="J364" s="17">
        <f>IF(B364="","",IF(COUNTIF(Pagos!$B:$B,A364)=0,"",_xlfn.MAXIFS(Pagos!$D:$D,Pagos!$B:$B,A364)))</f>
        <v/>
      </c>
      <c r="K364" s="11">
        <f>IF(B364="","",IF(J364="",TODAY()-C364,TODAY()-J364))</f>
        <v/>
      </c>
      <c r="L364" s="11">
        <f>IF(B364="","",IF(F364="Diario",1,IF(F364="Semanal",7,IF(F364="Quincenal",15,IF(F364="Mensual",30,30))))+Resumen!$B$2)</f>
        <v/>
      </c>
      <c r="M364" s="11">
        <f>IF(B364="","",IF(G364&lt;=0,"Pagado",IF(K364&gt;L364,"Atrasado","Al dia")))</f>
        <v/>
      </c>
    </row>
    <row r="365">
      <c r="A365" s="11">
        <f>IF(B365="","","P"&amp;TEXT(ROW()-1,"000"))</f>
        <v/>
      </c>
      <c r="B365" s="12" t="n"/>
      <c r="C365" s="13" t="n"/>
      <c r="D365" s="14" t="n"/>
      <c r="E365" s="15" t="n"/>
      <c r="F365" s="12" t="n"/>
      <c r="G365" s="16">
        <f>IF(B365="","",D365-SUMIFS(Pagos!$H:$H,Pagos!$B:$B,A365))</f>
        <v/>
      </c>
      <c r="H365" s="16">
        <f>IF(B365="","",SUMIFS(Pagos!$E:$E,Pagos!$B:$B,A365))</f>
        <v/>
      </c>
      <c r="I365" s="16">
        <f>IF(B365="","",SUMIFS(Pagos!$G:$G,Pagos!$B:$B,A365))</f>
        <v/>
      </c>
      <c r="J365" s="17">
        <f>IF(B365="","",IF(COUNTIF(Pagos!$B:$B,A365)=0,"",_xlfn.MAXIFS(Pagos!$D:$D,Pagos!$B:$B,A365)))</f>
        <v/>
      </c>
      <c r="K365" s="11">
        <f>IF(B365="","",IF(J365="",TODAY()-C365,TODAY()-J365))</f>
        <v/>
      </c>
      <c r="L365" s="11">
        <f>IF(B365="","",IF(F365="Diario",1,IF(F365="Semanal",7,IF(F365="Quincenal",15,IF(F365="Mensual",30,30))))+Resumen!$B$2)</f>
        <v/>
      </c>
      <c r="M365" s="11">
        <f>IF(B365="","",IF(G365&lt;=0,"Pagado",IF(K365&gt;L365,"Atrasado","Al dia")))</f>
        <v/>
      </c>
    </row>
    <row r="366">
      <c r="A366" s="11">
        <f>IF(B366="","","P"&amp;TEXT(ROW()-1,"000"))</f>
        <v/>
      </c>
      <c r="B366" s="12" t="n"/>
      <c r="C366" s="13" t="n"/>
      <c r="D366" s="14" t="n"/>
      <c r="E366" s="15" t="n"/>
      <c r="F366" s="12" t="n"/>
      <c r="G366" s="16">
        <f>IF(B366="","",D366-SUMIFS(Pagos!$H:$H,Pagos!$B:$B,A366))</f>
        <v/>
      </c>
      <c r="H366" s="16">
        <f>IF(B366="","",SUMIFS(Pagos!$E:$E,Pagos!$B:$B,A366))</f>
        <v/>
      </c>
      <c r="I366" s="16">
        <f>IF(B366="","",SUMIFS(Pagos!$G:$G,Pagos!$B:$B,A366))</f>
        <v/>
      </c>
      <c r="J366" s="17">
        <f>IF(B366="","",IF(COUNTIF(Pagos!$B:$B,A366)=0,"",_xlfn.MAXIFS(Pagos!$D:$D,Pagos!$B:$B,A366)))</f>
        <v/>
      </c>
      <c r="K366" s="11">
        <f>IF(B366="","",IF(J366="",TODAY()-C366,TODAY()-J366))</f>
        <v/>
      </c>
      <c r="L366" s="11">
        <f>IF(B366="","",IF(F366="Diario",1,IF(F366="Semanal",7,IF(F366="Quincenal",15,IF(F366="Mensual",30,30))))+Resumen!$B$2)</f>
        <v/>
      </c>
      <c r="M366" s="11">
        <f>IF(B366="","",IF(G366&lt;=0,"Pagado",IF(K366&gt;L366,"Atrasado","Al dia")))</f>
        <v/>
      </c>
    </row>
    <row r="367">
      <c r="A367" s="11">
        <f>IF(B367="","","P"&amp;TEXT(ROW()-1,"000"))</f>
        <v/>
      </c>
      <c r="B367" s="12" t="n"/>
      <c r="C367" s="13" t="n"/>
      <c r="D367" s="14" t="n"/>
      <c r="E367" s="15" t="n"/>
      <c r="F367" s="12" t="n"/>
      <c r="G367" s="16">
        <f>IF(B367="","",D367-SUMIFS(Pagos!$H:$H,Pagos!$B:$B,A367))</f>
        <v/>
      </c>
      <c r="H367" s="16">
        <f>IF(B367="","",SUMIFS(Pagos!$E:$E,Pagos!$B:$B,A367))</f>
        <v/>
      </c>
      <c r="I367" s="16">
        <f>IF(B367="","",SUMIFS(Pagos!$G:$G,Pagos!$B:$B,A367))</f>
        <v/>
      </c>
      <c r="J367" s="17">
        <f>IF(B367="","",IF(COUNTIF(Pagos!$B:$B,A367)=0,"",_xlfn.MAXIFS(Pagos!$D:$D,Pagos!$B:$B,A367)))</f>
        <v/>
      </c>
      <c r="K367" s="11">
        <f>IF(B367="","",IF(J367="",TODAY()-C367,TODAY()-J367))</f>
        <v/>
      </c>
      <c r="L367" s="11">
        <f>IF(B367="","",IF(F367="Diario",1,IF(F367="Semanal",7,IF(F367="Quincenal",15,IF(F367="Mensual",30,30))))+Resumen!$B$2)</f>
        <v/>
      </c>
      <c r="M367" s="11">
        <f>IF(B367="","",IF(G367&lt;=0,"Pagado",IF(K367&gt;L367,"Atrasado","Al dia")))</f>
        <v/>
      </c>
    </row>
    <row r="368">
      <c r="A368" s="11">
        <f>IF(B368="","","P"&amp;TEXT(ROW()-1,"000"))</f>
        <v/>
      </c>
      <c r="B368" s="12" t="n"/>
      <c r="C368" s="13" t="n"/>
      <c r="D368" s="14" t="n"/>
      <c r="E368" s="15" t="n"/>
      <c r="F368" s="12" t="n"/>
      <c r="G368" s="16">
        <f>IF(B368="","",D368-SUMIFS(Pagos!$H:$H,Pagos!$B:$B,A368))</f>
        <v/>
      </c>
      <c r="H368" s="16">
        <f>IF(B368="","",SUMIFS(Pagos!$E:$E,Pagos!$B:$B,A368))</f>
        <v/>
      </c>
      <c r="I368" s="16">
        <f>IF(B368="","",SUMIFS(Pagos!$G:$G,Pagos!$B:$B,A368))</f>
        <v/>
      </c>
      <c r="J368" s="17">
        <f>IF(B368="","",IF(COUNTIF(Pagos!$B:$B,A368)=0,"",_xlfn.MAXIFS(Pagos!$D:$D,Pagos!$B:$B,A368)))</f>
        <v/>
      </c>
      <c r="K368" s="11">
        <f>IF(B368="","",IF(J368="",TODAY()-C368,TODAY()-J368))</f>
        <v/>
      </c>
      <c r="L368" s="11">
        <f>IF(B368="","",IF(F368="Diario",1,IF(F368="Semanal",7,IF(F368="Quincenal",15,IF(F368="Mensual",30,30))))+Resumen!$B$2)</f>
        <v/>
      </c>
      <c r="M368" s="11">
        <f>IF(B368="","",IF(G368&lt;=0,"Pagado",IF(K368&gt;L368,"Atrasado","Al dia")))</f>
        <v/>
      </c>
    </row>
    <row r="369">
      <c r="A369" s="11">
        <f>IF(B369="","","P"&amp;TEXT(ROW()-1,"000"))</f>
        <v/>
      </c>
      <c r="B369" s="12" t="n"/>
      <c r="C369" s="13" t="n"/>
      <c r="D369" s="14" t="n"/>
      <c r="E369" s="15" t="n"/>
      <c r="F369" s="12" t="n"/>
      <c r="G369" s="16">
        <f>IF(B369="","",D369-SUMIFS(Pagos!$H:$H,Pagos!$B:$B,A369))</f>
        <v/>
      </c>
      <c r="H369" s="16">
        <f>IF(B369="","",SUMIFS(Pagos!$E:$E,Pagos!$B:$B,A369))</f>
        <v/>
      </c>
      <c r="I369" s="16">
        <f>IF(B369="","",SUMIFS(Pagos!$G:$G,Pagos!$B:$B,A369))</f>
        <v/>
      </c>
      <c r="J369" s="17">
        <f>IF(B369="","",IF(COUNTIF(Pagos!$B:$B,A369)=0,"",_xlfn.MAXIFS(Pagos!$D:$D,Pagos!$B:$B,A369)))</f>
        <v/>
      </c>
      <c r="K369" s="11">
        <f>IF(B369="","",IF(J369="",TODAY()-C369,TODAY()-J369))</f>
        <v/>
      </c>
      <c r="L369" s="11">
        <f>IF(B369="","",IF(F369="Diario",1,IF(F369="Semanal",7,IF(F369="Quincenal",15,IF(F369="Mensual",30,30))))+Resumen!$B$2)</f>
        <v/>
      </c>
      <c r="M369" s="11">
        <f>IF(B369="","",IF(G369&lt;=0,"Pagado",IF(K369&gt;L369,"Atrasado","Al dia")))</f>
        <v/>
      </c>
    </row>
    <row r="370">
      <c r="A370" s="11">
        <f>IF(B370="","","P"&amp;TEXT(ROW()-1,"000"))</f>
        <v/>
      </c>
      <c r="B370" s="12" t="n"/>
      <c r="C370" s="13" t="n"/>
      <c r="D370" s="14" t="n"/>
      <c r="E370" s="15" t="n"/>
      <c r="F370" s="12" t="n"/>
      <c r="G370" s="16">
        <f>IF(B370="","",D370-SUMIFS(Pagos!$H:$H,Pagos!$B:$B,A370))</f>
        <v/>
      </c>
      <c r="H370" s="16">
        <f>IF(B370="","",SUMIFS(Pagos!$E:$E,Pagos!$B:$B,A370))</f>
        <v/>
      </c>
      <c r="I370" s="16">
        <f>IF(B370="","",SUMIFS(Pagos!$G:$G,Pagos!$B:$B,A370))</f>
        <v/>
      </c>
      <c r="J370" s="17">
        <f>IF(B370="","",IF(COUNTIF(Pagos!$B:$B,A370)=0,"",_xlfn.MAXIFS(Pagos!$D:$D,Pagos!$B:$B,A370)))</f>
        <v/>
      </c>
      <c r="K370" s="11">
        <f>IF(B370="","",IF(J370="",TODAY()-C370,TODAY()-J370))</f>
        <v/>
      </c>
      <c r="L370" s="11">
        <f>IF(B370="","",IF(F370="Diario",1,IF(F370="Semanal",7,IF(F370="Quincenal",15,IF(F370="Mensual",30,30))))+Resumen!$B$2)</f>
        <v/>
      </c>
      <c r="M370" s="11">
        <f>IF(B370="","",IF(G370&lt;=0,"Pagado",IF(K370&gt;L370,"Atrasado","Al dia")))</f>
        <v/>
      </c>
    </row>
    <row r="371">
      <c r="A371" s="11">
        <f>IF(B371="","","P"&amp;TEXT(ROW()-1,"000"))</f>
        <v/>
      </c>
      <c r="B371" s="12" t="n"/>
      <c r="C371" s="13" t="n"/>
      <c r="D371" s="14" t="n"/>
      <c r="E371" s="15" t="n"/>
      <c r="F371" s="12" t="n"/>
      <c r="G371" s="16">
        <f>IF(B371="","",D371-SUMIFS(Pagos!$H:$H,Pagos!$B:$B,A371))</f>
        <v/>
      </c>
      <c r="H371" s="16">
        <f>IF(B371="","",SUMIFS(Pagos!$E:$E,Pagos!$B:$B,A371))</f>
        <v/>
      </c>
      <c r="I371" s="16">
        <f>IF(B371="","",SUMIFS(Pagos!$G:$G,Pagos!$B:$B,A371))</f>
        <v/>
      </c>
      <c r="J371" s="17">
        <f>IF(B371="","",IF(COUNTIF(Pagos!$B:$B,A371)=0,"",_xlfn.MAXIFS(Pagos!$D:$D,Pagos!$B:$B,A371)))</f>
        <v/>
      </c>
      <c r="K371" s="11">
        <f>IF(B371="","",IF(J371="",TODAY()-C371,TODAY()-J371))</f>
        <v/>
      </c>
      <c r="L371" s="11">
        <f>IF(B371="","",IF(F371="Diario",1,IF(F371="Semanal",7,IF(F371="Quincenal",15,IF(F371="Mensual",30,30))))+Resumen!$B$2)</f>
        <v/>
      </c>
      <c r="M371" s="11">
        <f>IF(B371="","",IF(G371&lt;=0,"Pagado",IF(K371&gt;L371,"Atrasado","Al dia")))</f>
        <v/>
      </c>
    </row>
    <row r="372">
      <c r="A372" s="11">
        <f>IF(B372="","","P"&amp;TEXT(ROW()-1,"000"))</f>
        <v/>
      </c>
      <c r="B372" s="12" t="n"/>
      <c r="C372" s="13" t="n"/>
      <c r="D372" s="14" t="n"/>
      <c r="E372" s="15" t="n"/>
      <c r="F372" s="12" t="n"/>
      <c r="G372" s="16">
        <f>IF(B372="","",D372-SUMIFS(Pagos!$H:$H,Pagos!$B:$B,A372))</f>
        <v/>
      </c>
      <c r="H372" s="16">
        <f>IF(B372="","",SUMIFS(Pagos!$E:$E,Pagos!$B:$B,A372))</f>
        <v/>
      </c>
      <c r="I372" s="16">
        <f>IF(B372="","",SUMIFS(Pagos!$G:$G,Pagos!$B:$B,A372))</f>
        <v/>
      </c>
      <c r="J372" s="17">
        <f>IF(B372="","",IF(COUNTIF(Pagos!$B:$B,A372)=0,"",_xlfn.MAXIFS(Pagos!$D:$D,Pagos!$B:$B,A372)))</f>
        <v/>
      </c>
      <c r="K372" s="11">
        <f>IF(B372="","",IF(J372="",TODAY()-C372,TODAY()-J372))</f>
        <v/>
      </c>
      <c r="L372" s="11">
        <f>IF(B372="","",IF(F372="Diario",1,IF(F372="Semanal",7,IF(F372="Quincenal",15,IF(F372="Mensual",30,30))))+Resumen!$B$2)</f>
        <v/>
      </c>
      <c r="M372" s="11">
        <f>IF(B372="","",IF(G372&lt;=0,"Pagado",IF(K372&gt;L372,"Atrasado","Al dia")))</f>
        <v/>
      </c>
    </row>
    <row r="373">
      <c r="A373" s="11">
        <f>IF(B373="","","P"&amp;TEXT(ROW()-1,"000"))</f>
        <v/>
      </c>
      <c r="B373" s="12" t="n"/>
      <c r="C373" s="13" t="n"/>
      <c r="D373" s="14" t="n"/>
      <c r="E373" s="15" t="n"/>
      <c r="F373" s="12" t="n"/>
      <c r="G373" s="16">
        <f>IF(B373="","",D373-SUMIFS(Pagos!$H:$H,Pagos!$B:$B,A373))</f>
        <v/>
      </c>
      <c r="H373" s="16">
        <f>IF(B373="","",SUMIFS(Pagos!$E:$E,Pagos!$B:$B,A373))</f>
        <v/>
      </c>
      <c r="I373" s="16">
        <f>IF(B373="","",SUMIFS(Pagos!$G:$G,Pagos!$B:$B,A373))</f>
        <v/>
      </c>
      <c r="J373" s="17">
        <f>IF(B373="","",IF(COUNTIF(Pagos!$B:$B,A373)=0,"",_xlfn.MAXIFS(Pagos!$D:$D,Pagos!$B:$B,A373)))</f>
        <v/>
      </c>
      <c r="K373" s="11">
        <f>IF(B373="","",IF(J373="",TODAY()-C373,TODAY()-J373))</f>
        <v/>
      </c>
      <c r="L373" s="11">
        <f>IF(B373="","",IF(F373="Diario",1,IF(F373="Semanal",7,IF(F373="Quincenal",15,IF(F373="Mensual",30,30))))+Resumen!$B$2)</f>
        <v/>
      </c>
      <c r="M373" s="11">
        <f>IF(B373="","",IF(G373&lt;=0,"Pagado",IF(K373&gt;L373,"Atrasado","Al dia")))</f>
        <v/>
      </c>
    </row>
    <row r="374">
      <c r="A374" s="11">
        <f>IF(B374="","","P"&amp;TEXT(ROW()-1,"000"))</f>
        <v/>
      </c>
      <c r="B374" s="12" t="n"/>
      <c r="C374" s="13" t="n"/>
      <c r="D374" s="14" t="n"/>
      <c r="E374" s="15" t="n"/>
      <c r="F374" s="12" t="n"/>
      <c r="G374" s="16">
        <f>IF(B374="","",D374-SUMIFS(Pagos!$H:$H,Pagos!$B:$B,A374))</f>
        <v/>
      </c>
      <c r="H374" s="16">
        <f>IF(B374="","",SUMIFS(Pagos!$E:$E,Pagos!$B:$B,A374))</f>
        <v/>
      </c>
      <c r="I374" s="16">
        <f>IF(B374="","",SUMIFS(Pagos!$G:$G,Pagos!$B:$B,A374))</f>
        <v/>
      </c>
      <c r="J374" s="17">
        <f>IF(B374="","",IF(COUNTIF(Pagos!$B:$B,A374)=0,"",_xlfn.MAXIFS(Pagos!$D:$D,Pagos!$B:$B,A374)))</f>
        <v/>
      </c>
      <c r="K374" s="11">
        <f>IF(B374="","",IF(J374="",TODAY()-C374,TODAY()-J374))</f>
        <v/>
      </c>
      <c r="L374" s="11">
        <f>IF(B374="","",IF(F374="Diario",1,IF(F374="Semanal",7,IF(F374="Quincenal",15,IF(F374="Mensual",30,30))))+Resumen!$B$2)</f>
        <v/>
      </c>
      <c r="M374" s="11">
        <f>IF(B374="","",IF(G374&lt;=0,"Pagado",IF(K374&gt;L374,"Atrasado","Al dia")))</f>
        <v/>
      </c>
    </row>
    <row r="375">
      <c r="A375" s="11">
        <f>IF(B375="","","P"&amp;TEXT(ROW()-1,"000"))</f>
        <v/>
      </c>
      <c r="B375" s="12" t="n"/>
      <c r="C375" s="13" t="n"/>
      <c r="D375" s="14" t="n"/>
      <c r="E375" s="15" t="n"/>
      <c r="F375" s="12" t="n"/>
      <c r="G375" s="16">
        <f>IF(B375="","",D375-SUMIFS(Pagos!$H:$H,Pagos!$B:$B,A375))</f>
        <v/>
      </c>
      <c r="H375" s="16">
        <f>IF(B375="","",SUMIFS(Pagos!$E:$E,Pagos!$B:$B,A375))</f>
        <v/>
      </c>
      <c r="I375" s="16">
        <f>IF(B375="","",SUMIFS(Pagos!$G:$G,Pagos!$B:$B,A375))</f>
        <v/>
      </c>
      <c r="J375" s="17">
        <f>IF(B375="","",IF(COUNTIF(Pagos!$B:$B,A375)=0,"",_xlfn.MAXIFS(Pagos!$D:$D,Pagos!$B:$B,A375)))</f>
        <v/>
      </c>
      <c r="K375" s="11">
        <f>IF(B375="","",IF(J375="",TODAY()-C375,TODAY()-J375))</f>
        <v/>
      </c>
      <c r="L375" s="11">
        <f>IF(B375="","",IF(F375="Diario",1,IF(F375="Semanal",7,IF(F375="Quincenal",15,IF(F375="Mensual",30,30))))+Resumen!$B$2)</f>
        <v/>
      </c>
      <c r="M375" s="11">
        <f>IF(B375="","",IF(G375&lt;=0,"Pagado",IF(K375&gt;L375,"Atrasado","Al dia")))</f>
        <v/>
      </c>
    </row>
    <row r="376">
      <c r="A376" s="11">
        <f>IF(B376="","","P"&amp;TEXT(ROW()-1,"000"))</f>
        <v/>
      </c>
      <c r="B376" s="12" t="n"/>
      <c r="C376" s="13" t="n"/>
      <c r="D376" s="14" t="n"/>
      <c r="E376" s="15" t="n"/>
      <c r="F376" s="12" t="n"/>
      <c r="G376" s="16">
        <f>IF(B376="","",D376-SUMIFS(Pagos!$H:$H,Pagos!$B:$B,A376))</f>
        <v/>
      </c>
      <c r="H376" s="16">
        <f>IF(B376="","",SUMIFS(Pagos!$E:$E,Pagos!$B:$B,A376))</f>
        <v/>
      </c>
      <c r="I376" s="16">
        <f>IF(B376="","",SUMIFS(Pagos!$G:$G,Pagos!$B:$B,A376))</f>
        <v/>
      </c>
      <c r="J376" s="17">
        <f>IF(B376="","",IF(COUNTIF(Pagos!$B:$B,A376)=0,"",_xlfn.MAXIFS(Pagos!$D:$D,Pagos!$B:$B,A376)))</f>
        <v/>
      </c>
      <c r="K376" s="11">
        <f>IF(B376="","",IF(J376="",TODAY()-C376,TODAY()-J376))</f>
        <v/>
      </c>
      <c r="L376" s="11">
        <f>IF(B376="","",IF(F376="Diario",1,IF(F376="Semanal",7,IF(F376="Quincenal",15,IF(F376="Mensual",30,30))))+Resumen!$B$2)</f>
        <v/>
      </c>
      <c r="M376" s="11">
        <f>IF(B376="","",IF(G376&lt;=0,"Pagado",IF(K376&gt;L376,"Atrasado","Al dia")))</f>
        <v/>
      </c>
    </row>
    <row r="377">
      <c r="A377" s="11">
        <f>IF(B377="","","P"&amp;TEXT(ROW()-1,"000"))</f>
        <v/>
      </c>
      <c r="B377" s="12" t="n"/>
      <c r="C377" s="13" t="n"/>
      <c r="D377" s="14" t="n"/>
      <c r="E377" s="15" t="n"/>
      <c r="F377" s="12" t="n"/>
      <c r="G377" s="16">
        <f>IF(B377="","",D377-SUMIFS(Pagos!$H:$H,Pagos!$B:$B,A377))</f>
        <v/>
      </c>
      <c r="H377" s="16">
        <f>IF(B377="","",SUMIFS(Pagos!$E:$E,Pagos!$B:$B,A377))</f>
        <v/>
      </c>
      <c r="I377" s="16">
        <f>IF(B377="","",SUMIFS(Pagos!$G:$G,Pagos!$B:$B,A377))</f>
        <v/>
      </c>
      <c r="J377" s="17">
        <f>IF(B377="","",IF(COUNTIF(Pagos!$B:$B,A377)=0,"",_xlfn.MAXIFS(Pagos!$D:$D,Pagos!$B:$B,A377)))</f>
        <v/>
      </c>
      <c r="K377" s="11">
        <f>IF(B377="","",IF(J377="",TODAY()-C377,TODAY()-J377))</f>
        <v/>
      </c>
      <c r="L377" s="11">
        <f>IF(B377="","",IF(F377="Diario",1,IF(F377="Semanal",7,IF(F377="Quincenal",15,IF(F377="Mensual",30,30))))+Resumen!$B$2)</f>
        <v/>
      </c>
      <c r="M377" s="11">
        <f>IF(B377="","",IF(G377&lt;=0,"Pagado",IF(K377&gt;L377,"Atrasado","Al dia")))</f>
        <v/>
      </c>
    </row>
    <row r="378">
      <c r="A378" s="11">
        <f>IF(B378="","","P"&amp;TEXT(ROW()-1,"000"))</f>
        <v/>
      </c>
      <c r="B378" s="12" t="n"/>
      <c r="C378" s="13" t="n"/>
      <c r="D378" s="14" t="n"/>
      <c r="E378" s="15" t="n"/>
      <c r="F378" s="12" t="n"/>
      <c r="G378" s="16">
        <f>IF(B378="","",D378-SUMIFS(Pagos!$H:$H,Pagos!$B:$B,A378))</f>
        <v/>
      </c>
      <c r="H378" s="16">
        <f>IF(B378="","",SUMIFS(Pagos!$E:$E,Pagos!$B:$B,A378))</f>
        <v/>
      </c>
      <c r="I378" s="16">
        <f>IF(B378="","",SUMIFS(Pagos!$G:$G,Pagos!$B:$B,A378))</f>
        <v/>
      </c>
      <c r="J378" s="17">
        <f>IF(B378="","",IF(COUNTIF(Pagos!$B:$B,A378)=0,"",_xlfn.MAXIFS(Pagos!$D:$D,Pagos!$B:$B,A378)))</f>
        <v/>
      </c>
      <c r="K378" s="11">
        <f>IF(B378="","",IF(J378="",TODAY()-C378,TODAY()-J378))</f>
        <v/>
      </c>
      <c r="L378" s="11">
        <f>IF(B378="","",IF(F378="Diario",1,IF(F378="Semanal",7,IF(F378="Quincenal",15,IF(F378="Mensual",30,30))))+Resumen!$B$2)</f>
        <v/>
      </c>
      <c r="M378" s="11">
        <f>IF(B378="","",IF(G378&lt;=0,"Pagado",IF(K378&gt;L378,"Atrasado","Al dia")))</f>
        <v/>
      </c>
    </row>
    <row r="379">
      <c r="A379" s="11">
        <f>IF(B379="","","P"&amp;TEXT(ROW()-1,"000"))</f>
        <v/>
      </c>
      <c r="B379" s="12" t="n"/>
      <c r="C379" s="13" t="n"/>
      <c r="D379" s="14" t="n"/>
      <c r="E379" s="15" t="n"/>
      <c r="F379" s="12" t="n"/>
      <c r="G379" s="16">
        <f>IF(B379="","",D379-SUMIFS(Pagos!$H:$H,Pagos!$B:$B,A379))</f>
        <v/>
      </c>
      <c r="H379" s="16">
        <f>IF(B379="","",SUMIFS(Pagos!$E:$E,Pagos!$B:$B,A379))</f>
        <v/>
      </c>
      <c r="I379" s="16">
        <f>IF(B379="","",SUMIFS(Pagos!$G:$G,Pagos!$B:$B,A379))</f>
        <v/>
      </c>
      <c r="J379" s="17">
        <f>IF(B379="","",IF(COUNTIF(Pagos!$B:$B,A379)=0,"",_xlfn.MAXIFS(Pagos!$D:$D,Pagos!$B:$B,A379)))</f>
        <v/>
      </c>
      <c r="K379" s="11">
        <f>IF(B379="","",IF(J379="",TODAY()-C379,TODAY()-J379))</f>
        <v/>
      </c>
      <c r="L379" s="11">
        <f>IF(B379="","",IF(F379="Diario",1,IF(F379="Semanal",7,IF(F379="Quincenal",15,IF(F379="Mensual",30,30))))+Resumen!$B$2)</f>
        <v/>
      </c>
      <c r="M379" s="11">
        <f>IF(B379="","",IF(G379&lt;=0,"Pagado",IF(K379&gt;L379,"Atrasado","Al dia")))</f>
        <v/>
      </c>
    </row>
    <row r="380">
      <c r="A380" s="11">
        <f>IF(B380="","","P"&amp;TEXT(ROW()-1,"000"))</f>
        <v/>
      </c>
      <c r="B380" s="12" t="n"/>
      <c r="C380" s="13" t="n"/>
      <c r="D380" s="14" t="n"/>
      <c r="E380" s="15" t="n"/>
      <c r="F380" s="12" t="n"/>
      <c r="G380" s="16">
        <f>IF(B380="","",D380-SUMIFS(Pagos!$H:$H,Pagos!$B:$B,A380))</f>
        <v/>
      </c>
      <c r="H380" s="16">
        <f>IF(B380="","",SUMIFS(Pagos!$E:$E,Pagos!$B:$B,A380))</f>
        <v/>
      </c>
      <c r="I380" s="16">
        <f>IF(B380="","",SUMIFS(Pagos!$G:$G,Pagos!$B:$B,A380))</f>
        <v/>
      </c>
      <c r="J380" s="17">
        <f>IF(B380="","",IF(COUNTIF(Pagos!$B:$B,A380)=0,"",_xlfn.MAXIFS(Pagos!$D:$D,Pagos!$B:$B,A380)))</f>
        <v/>
      </c>
      <c r="K380" s="11">
        <f>IF(B380="","",IF(J380="",TODAY()-C380,TODAY()-J380))</f>
        <v/>
      </c>
      <c r="L380" s="11">
        <f>IF(B380="","",IF(F380="Diario",1,IF(F380="Semanal",7,IF(F380="Quincenal",15,IF(F380="Mensual",30,30))))+Resumen!$B$2)</f>
        <v/>
      </c>
      <c r="M380" s="11">
        <f>IF(B380="","",IF(G380&lt;=0,"Pagado",IF(K380&gt;L380,"Atrasado","Al dia")))</f>
        <v/>
      </c>
    </row>
    <row r="381">
      <c r="A381" s="11">
        <f>IF(B381="","","P"&amp;TEXT(ROW()-1,"000"))</f>
        <v/>
      </c>
      <c r="B381" s="12" t="n"/>
      <c r="C381" s="13" t="n"/>
      <c r="D381" s="14" t="n"/>
      <c r="E381" s="15" t="n"/>
      <c r="F381" s="12" t="n"/>
      <c r="G381" s="16">
        <f>IF(B381="","",D381-SUMIFS(Pagos!$H:$H,Pagos!$B:$B,A381))</f>
        <v/>
      </c>
      <c r="H381" s="16">
        <f>IF(B381="","",SUMIFS(Pagos!$E:$E,Pagos!$B:$B,A381))</f>
        <v/>
      </c>
      <c r="I381" s="16">
        <f>IF(B381="","",SUMIFS(Pagos!$G:$G,Pagos!$B:$B,A381))</f>
        <v/>
      </c>
      <c r="J381" s="17">
        <f>IF(B381="","",IF(COUNTIF(Pagos!$B:$B,A381)=0,"",_xlfn.MAXIFS(Pagos!$D:$D,Pagos!$B:$B,A381)))</f>
        <v/>
      </c>
      <c r="K381" s="11">
        <f>IF(B381="","",IF(J381="",TODAY()-C381,TODAY()-J381))</f>
        <v/>
      </c>
      <c r="L381" s="11">
        <f>IF(B381="","",IF(F381="Diario",1,IF(F381="Semanal",7,IF(F381="Quincenal",15,IF(F381="Mensual",30,30))))+Resumen!$B$2)</f>
        <v/>
      </c>
      <c r="M381" s="11">
        <f>IF(B381="","",IF(G381&lt;=0,"Pagado",IF(K381&gt;L381,"Atrasado","Al dia")))</f>
        <v/>
      </c>
    </row>
    <row r="382">
      <c r="A382" s="11">
        <f>IF(B382="","","P"&amp;TEXT(ROW()-1,"000"))</f>
        <v/>
      </c>
      <c r="B382" s="12" t="n"/>
      <c r="C382" s="13" t="n"/>
      <c r="D382" s="14" t="n"/>
      <c r="E382" s="15" t="n"/>
      <c r="F382" s="12" t="n"/>
      <c r="G382" s="16">
        <f>IF(B382="","",D382-SUMIFS(Pagos!$H:$H,Pagos!$B:$B,A382))</f>
        <v/>
      </c>
      <c r="H382" s="16">
        <f>IF(B382="","",SUMIFS(Pagos!$E:$E,Pagos!$B:$B,A382))</f>
        <v/>
      </c>
      <c r="I382" s="16">
        <f>IF(B382="","",SUMIFS(Pagos!$G:$G,Pagos!$B:$B,A382))</f>
        <v/>
      </c>
      <c r="J382" s="17">
        <f>IF(B382="","",IF(COUNTIF(Pagos!$B:$B,A382)=0,"",_xlfn.MAXIFS(Pagos!$D:$D,Pagos!$B:$B,A382)))</f>
        <v/>
      </c>
      <c r="K382" s="11">
        <f>IF(B382="","",IF(J382="",TODAY()-C382,TODAY()-J382))</f>
        <v/>
      </c>
      <c r="L382" s="11">
        <f>IF(B382="","",IF(F382="Diario",1,IF(F382="Semanal",7,IF(F382="Quincenal",15,IF(F382="Mensual",30,30))))+Resumen!$B$2)</f>
        <v/>
      </c>
      <c r="M382" s="11">
        <f>IF(B382="","",IF(G382&lt;=0,"Pagado",IF(K382&gt;L382,"Atrasado","Al dia")))</f>
        <v/>
      </c>
    </row>
    <row r="383">
      <c r="A383" s="11">
        <f>IF(B383="","","P"&amp;TEXT(ROW()-1,"000"))</f>
        <v/>
      </c>
      <c r="B383" s="12" t="n"/>
      <c r="C383" s="13" t="n"/>
      <c r="D383" s="14" t="n"/>
      <c r="E383" s="15" t="n"/>
      <c r="F383" s="12" t="n"/>
      <c r="G383" s="16">
        <f>IF(B383="","",D383-SUMIFS(Pagos!$H:$H,Pagos!$B:$B,A383))</f>
        <v/>
      </c>
      <c r="H383" s="16">
        <f>IF(B383="","",SUMIFS(Pagos!$E:$E,Pagos!$B:$B,A383))</f>
        <v/>
      </c>
      <c r="I383" s="16">
        <f>IF(B383="","",SUMIFS(Pagos!$G:$G,Pagos!$B:$B,A383))</f>
        <v/>
      </c>
      <c r="J383" s="17">
        <f>IF(B383="","",IF(COUNTIF(Pagos!$B:$B,A383)=0,"",_xlfn.MAXIFS(Pagos!$D:$D,Pagos!$B:$B,A383)))</f>
        <v/>
      </c>
      <c r="K383" s="11">
        <f>IF(B383="","",IF(J383="",TODAY()-C383,TODAY()-J383))</f>
        <v/>
      </c>
      <c r="L383" s="11">
        <f>IF(B383="","",IF(F383="Diario",1,IF(F383="Semanal",7,IF(F383="Quincenal",15,IF(F383="Mensual",30,30))))+Resumen!$B$2)</f>
        <v/>
      </c>
      <c r="M383" s="11">
        <f>IF(B383="","",IF(G383&lt;=0,"Pagado",IF(K383&gt;L383,"Atrasado","Al dia")))</f>
        <v/>
      </c>
    </row>
    <row r="384">
      <c r="A384" s="11">
        <f>IF(B384="","","P"&amp;TEXT(ROW()-1,"000"))</f>
        <v/>
      </c>
      <c r="B384" s="12" t="n"/>
      <c r="C384" s="13" t="n"/>
      <c r="D384" s="14" t="n"/>
      <c r="E384" s="15" t="n"/>
      <c r="F384" s="12" t="n"/>
      <c r="G384" s="16">
        <f>IF(B384="","",D384-SUMIFS(Pagos!$H:$H,Pagos!$B:$B,A384))</f>
        <v/>
      </c>
      <c r="H384" s="16">
        <f>IF(B384="","",SUMIFS(Pagos!$E:$E,Pagos!$B:$B,A384))</f>
        <v/>
      </c>
      <c r="I384" s="16">
        <f>IF(B384="","",SUMIFS(Pagos!$G:$G,Pagos!$B:$B,A384))</f>
        <v/>
      </c>
      <c r="J384" s="17">
        <f>IF(B384="","",IF(COUNTIF(Pagos!$B:$B,A384)=0,"",_xlfn.MAXIFS(Pagos!$D:$D,Pagos!$B:$B,A384)))</f>
        <v/>
      </c>
      <c r="K384" s="11">
        <f>IF(B384="","",IF(J384="",TODAY()-C384,TODAY()-J384))</f>
        <v/>
      </c>
      <c r="L384" s="11">
        <f>IF(B384="","",IF(F384="Diario",1,IF(F384="Semanal",7,IF(F384="Quincenal",15,IF(F384="Mensual",30,30))))+Resumen!$B$2)</f>
        <v/>
      </c>
      <c r="M384" s="11">
        <f>IF(B384="","",IF(G384&lt;=0,"Pagado",IF(K384&gt;L384,"Atrasado","Al dia")))</f>
        <v/>
      </c>
    </row>
    <row r="385">
      <c r="A385" s="11">
        <f>IF(B385="","","P"&amp;TEXT(ROW()-1,"000"))</f>
        <v/>
      </c>
      <c r="B385" s="12" t="n"/>
      <c r="C385" s="13" t="n"/>
      <c r="D385" s="14" t="n"/>
      <c r="E385" s="15" t="n"/>
      <c r="F385" s="12" t="n"/>
      <c r="G385" s="16">
        <f>IF(B385="","",D385-SUMIFS(Pagos!$H:$H,Pagos!$B:$B,A385))</f>
        <v/>
      </c>
      <c r="H385" s="16">
        <f>IF(B385="","",SUMIFS(Pagos!$E:$E,Pagos!$B:$B,A385))</f>
        <v/>
      </c>
      <c r="I385" s="16">
        <f>IF(B385="","",SUMIFS(Pagos!$G:$G,Pagos!$B:$B,A385))</f>
        <v/>
      </c>
      <c r="J385" s="17">
        <f>IF(B385="","",IF(COUNTIF(Pagos!$B:$B,A385)=0,"",_xlfn.MAXIFS(Pagos!$D:$D,Pagos!$B:$B,A385)))</f>
        <v/>
      </c>
      <c r="K385" s="11">
        <f>IF(B385="","",IF(J385="",TODAY()-C385,TODAY()-J385))</f>
        <v/>
      </c>
      <c r="L385" s="11">
        <f>IF(B385="","",IF(F385="Diario",1,IF(F385="Semanal",7,IF(F385="Quincenal",15,IF(F385="Mensual",30,30))))+Resumen!$B$2)</f>
        <v/>
      </c>
      <c r="M385" s="11">
        <f>IF(B385="","",IF(G385&lt;=0,"Pagado",IF(K385&gt;L385,"Atrasado","Al dia")))</f>
        <v/>
      </c>
    </row>
    <row r="386">
      <c r="A386" s="11">
        <f>IF(B386="","","P"&amp;TEXT(ROW()-1,"000"))</f>
        <v/>
      </c>
      <c r="B386" s="12" t="n"/>
      <c r="C386" s="13" t="n"/>
      <c r="D386" s="14" t="n"/>
      <c r="E386" s="15" t="n"/>
      <c r="F386" s="12" t="n"/>
      <c r="G386" s="16">
        <f>IF(B386="","",D386-SUMIFS(Pagos!$H:$H,Pagos!$B:$B,A386))</f>
        <v/>
      </c>
      <c r="H386" s="16">
        <f>IF(B386="","",SUMIFS(Pagos!$E:$E,Pagos!$B:$B,A386))</f>
        <v/>
      </c>
      <c r="I386" s="16">
        <f>IF(B386="","",SUMIFS(Pagos!$G:$G,Pagos!$B:$B,A386))</f>
        <v/>
      </c>
      <c r="J386" s="17">
        <f>IF(B386="","",IF(COUNTIF(Pagos!$B:$B,A386)=0,"",_xlfn.MAXIFS(Pagos!$D:$D,Pagos!$B:$B,A386)))</f>
        <v/>
      </c>
      <c r="K386" s="11">
        <f>IF(B386="","",IF(J386="",TODAY()-C386,TODAY()-J386))</f>
        <v/>
      </c>
      <c r="L386" s="11">
        <f>IF(B386="","",IF(F386="Diario",1,IF(F386="Semanal",7,IF(F386="Quincenal",15,IF(F386="Mensual",30,30))))+Resumen!$B$2)</f>
        <v/>
      </c>
      <c r="M386" s="11">
        <f>IF(B386="","",IF(G386&lt;=0,"Pagado",IF(K386&gt;L386,"Atrasado","Al dia")))</f>
        <v/>
      </c>
    </row>
    <row r="387">
      <c r="A387" s="11">
        <f>IF(B387="","","P"&amp;TEXT(ROW()-1,"000"))</f>
        <v/>
      </c>
      <c r="B387" s="12" t="n"/>
      <c r="C387" s="13" t="n"/>
      <c r="D387" s="14" t="n"/>
      <c r="E387" s="15" t="n"/>
      <c r="F387" s="12" t="n"/>
      <c r="G387" s="16">
        <f>IF(B387="","",D387-SUMIFS(Pagos!$H:$H,Pagos!$B:$B,A387))</f>
        <v/>
      </c>
      <c r="H387" s="16">
        <f>IF(B387="","",SUMIFS(Pagos!$E:$E,Pagos!$B:$B,A387))</f>
        <v/>
      </c>
      <c r="I387" s="16">
        <f>IF(B387="","",SUMIFS(Pagos!$G:$G,Pagos!$B:$B,A387))</f>
        <v/>
      </c>
      <c r="J387" s="17">
        <f>IF(B387="","",IF(COUNTIF(Pagos!$B:$B,A387)=0,"",_xlfn.MAXIFS(Pagos!$D:$D,Pagos!$B:$B,A387)))</f>
        <v/>
      </c>
      <c r="K387" s="11">
        <f>IF(B387="","",IF(J387="",TODAY()-C387,TODAY()-J387))</f>
        <v/>
      </c>
      <c r="L387" s="11">
        <f>IF(B387="","",IF(F387="Diario",1,IF(F387="Semanal",7,IF(F387="Quincenal",15,IF(F387="Mensual",30,30))))+Resumen!$B$2)</f>
        <v/>
      </c>
      <c r="M387" s="11">
        <f>IF(B387="","",IF(G387&lt;=0,"Pagado",IF(K387&gt;L387,"Atrasado","Al dia")))</f>
        <v/>
      </c>
    </row>
    <row r="388">
      <c r="A388" s="11">
        <f>IF(B388="","","P"&amp;TEXT(ROW()-1,"000"))</f>
        <v/>
      </c>
      <c r="B388" s="12" t="n"/>
      <c r="C388" s="13" t="n"/>
      <c r="D388" s="14" t="n"/>
      <c r="E388" s="15" t="n"/>
      <c r="F388" s="12" t="n"/>
      <c r="G388" s="16">
        <f>IF(B388="","",D388-SUMIFS(Pagos!$H:$H,Pagos!$B:$B,A388))</f>
        <v/>
      </c>
      <c r="H388" s="16">
        <f>IF(B388="","",SUMIFS(Pagos!$E:$E,Pagos!$B:$B,A388))</f>
        <v/>
      </c>
      <c r="I388" s="16">
        <f>IF(B388="","",SUMIFS(Pagos!$G:$G,Pagos!$B:$B,A388))</f>
        <v/>
      </c>
      <c r="J388" s="17">
        <f>IF(B388="","",IF(COUNTIF(Pagos!$B:$B,A388)=0,"",_xlfn.MAXIFS(Pagos!$D:$D,Pagos!$B:$B,A388)))</f>
        <v/>
      </c>
      <c r="K388" s="11">
        <f>IF(B388="","",IF(J388="",TODAY()-C388,TODAY()-J388))</f>
        <v/>
      </c>
      <c r="L388" s="11">
        <f>IF(B388="","",IF(F388="Diario",1,IF(F388="Semanal",7,IF(F388="Quincenal",15,IF(F388="Mensual",30,30))))+Resumen!$B$2)</f>
        <v/>
      </c>
      <c r="M388" s="11">
        <f>IF(B388="","",IF(G388&lt;=0,"Pagado",IF(K388&gt;L388,"Atrasado","Al dia")))</f>
        <v/>
      </c>
    </row>
    <row r="389">
      <c r="A389" s="11">
        <f>IF(B389="","","P"&amp;TEXT(ROW()-1,"000"))</f>
        <v/>
      </c>
      <c r="B389" s="12" t="n"/>
      <c r="C389" s="13" t="n"/>
      <c r="D389" s="14" t="n"/>
      <c r="E389" s="15" t="n"/>
      <c r="F389" s="12" t="n"/>
      <c r="G389" s="16">
        <f>IF(B389="","",D389-SUMIFS(Pagos!$H:$H,Pagos!$B:$B,A389))</f>
        <v/>
      </c>
      <c r="H389" s="16">
        <f>IF(B389="","",SUMIFS(Pagos!$E:$E,Pagos!$B:$B,A389))</f>
        <v/>
      </c>
      <c r="I389" s="16">
        <f>IF(B389="","",SUMIFS(Pagos!$G:$G,Pagos!$B:$B,A389))</f>
        <v/>
      </c>
      <c r="J389" s="17">
        <f>IF(B389="","",IF(COUNTIF(Pagos!$B:$B,A389)=0,"",_xlfn.MAXIFS(Pagos!$D:$D,Pagos!$B:$B,A389)))</f>
        <v/>
      </c>
      <c r="K389" s="11">
        <f>IF(B389="","",IF(J389="",TODAY()-C389,TODAY()-J389))</f>
        <v/>
      </c>
      <c r="L389" s="11">
        <f>IF(B389="","",IF(F389="Diario",1,IF(F389="Semanal",7,IF(F389="Quincenal",15,IF(F389="Mensual",30,30))))+Resumen!$B$2)</f>
        <v/>
      </c>
      <c r="M389" s="11">
        <f>IF(B389="","",IF(G389&lt;=0,"Pagado",IF(K389&gt;L389,"Atrasado","Al dia")))</f>
        <v/>
      </c>
    </row>
    <row r="390">
      <c r="A390" s="11">
        <f>IF(B390="","","P"&amp;TEXT(ROW()-1,"000"))</f>
        <v/>
      </c>
      <c r="B390" s="12" t="n"/>
      <c r="C390" s="13" t="n"/>
      <c r="D390" s="14" t="n"/>
      <c r="E390" s="15" t="n"/>
      <c r="F390" s="12" t="n"/>
      <c r="G390" s="16">
        <f>IF(B390="","",D390-SUMIFS(Pagos!$H:$H,Pagos!$B:$B,A390))</f>
        <v/>
      </c>
      <c r="H390" s="16">
        <f>IF(B390="","",SUMIFS(Pagos!$E:$E,Pagos!$B:$B,A390))</f>
        <v/>
      </c>
      <c r="I390" s="16">
        <f>IF(B390="","",SUMIFS(Pagos!$G:$G,Pagos!$B:$B,A390))</f>
        <v/>
      </c>
      <c r="J390" s="17">
        <f>IF(B390="","",IF(COUNTIF(Pagos!$B:$B,A390)=0,"",_xlfn.MAXIFS(Pagos!$D:$D,Pagos!$B:$B,A390)))</f>
        <v/>
      </c>
      <c r="K390" s="11">
        <f>IF(B390="","",IF(J390="",TODAY()-C390,TODAY()-J390))</f>
        <v/>
      </c>
      <c r="L390" s="11">
        <f>IF(B390="","",IF(F390="Diario",1,IF(F390="Semanal",7,IF(F390="Quincenal",15,IF(F390="Mensual",30,30))))+Resumen!$B$2)</f>
        <v/>
      </c>
      <c r="M390" s="11">
        <f>IF(B390="","",IF(G390&lt;=0,"Pagado",IF(K390&gt;L390,"Atrasado","Al dia")))</f>
        <v/>
      </c>
    </row>
    <row r="391">
      <c r="A391" s="11">
        <f>IF(B391="","","P"&amp;TEXT(ROW()-1,"000"))</f>
        <v/>
      </c>
      <c r="B391" s="12" t="n"/>
      <c r="C391" s="13" t="n"/>
      <c r="D391" s="14" t="n"/>
      <c r="E391" s="15" t="n"/>
      <c r="F391" s="12" t="n"/>
      <c r="G391" s="16">
        <f>IF(B391="","",D391-SUMIFS(Pagos!$H:$H,Pagos!$B:$B,A391))</f>
        <v/>
      </c>
      <c r="H391" s="16">
        <f>IF(B391="","",SUMIFS(Pagos!$E:$E,Pagos!$B:$B,A391))</f>
        <v/>
      </c>
      <c r="I391" s="16">
        <f>IF(B391="","",SUMIFS(Pagos!$G:$G,Pagos!$B:$B,A391))</f>
        <v/>
      </c>
      <c r="J391" s="17">
        <f>IF(B391="","",IF(COUNTIF(Pagos!$B:$B,A391)=0,"",_xlfn.MAXIFS(Pagos!$D:$D,Pagos!$B:$B,A391)))</f>
        <v/>
      </c>
      <c r="K391" s="11">
        <f>IF(B391="","",IF(J391="",TODAY()-C391,TODAY()-J391))</f>
        <v/>
      </c>
      <c r="L391" s="11">
        <f>IF(B391="","",IF(F391="Diario",1,IF(F391="Semanal",7,IF(F391="Quincenal",15,IF(F391="Mensual",30,30))))+Resumen!$B$2)</f>
        <v/>
      </c>
      <c r="M391" s="11">
        <f>IF(B391="","",IF(G391&lt;=0,"Pagado",IF(K391&gt;L391,"Atrasado","Al dia")))</f>
        <v/>
      </c>
    </row>
    <row r="392">
      <c r="A392" s="11">
        <f>IF(B392="","","P"&amp;TEXT(ROW()-1,"000"))</f>
        <v/>
      </c>
      <c r="B392" s="12" t="n"/>
      <c r="C392" s="13" t="n"/>
      <c r="D392" s="14" t="n"/>
      <c r="E392" s="15" t="n"/>
      <c r="F392" s="12" t="n"/>
      <c r="G392" s="16">
        <f>IF(B392="","",D392-SUMIFS(Pagos!$H:$H,Pagos!$B:$B,A392))</f>
        <v/>
      </c>
      <c r="H392" s="16">
        <f>IF(B392="","",SUMIFS(Pagos!$E:$E,Pagos!$B:$B,A392))</f>
        <v/>
      </c>
      <c r="I392" s="16">
        <f>IF(B392="","",SUMIFS(Pagos!$G:$G,Pagos!$B:$B,A392))</f>
        <v/>
      </c>
      <c r="J392" s="17">
        <f>IF(B392="","",IF(COUNTIF(Pagos!$B:$B,A392)=0,"",_xlfn.MAXIFS(Pagos!$D:$D,Pagos!$B:$B,A392)))</f>
        <v/>
      </c>
      <c r="K392" s="11">
        <f>IF(B392="","",IF(J392="",TODAY()-C392,TODAY()-J392))</f>
        <v/>
      </c>
      <c r="L392" s="11">
        <f>IF(B392="","",IF(F392="Diario",1,IF(F392="Semanal",7,IF(F392="Quincenal",15,IF(F392="Mensual",30,30))))+Resumen!$B$2)</f>
        <v/>
      </c>
      <c r="M392" s="11">
        <f>IF(B392="","",IF(G392&lt;=0,"Pagado",IF(K392&gt;L392,"Atrasado","Al dia")))</f>
        <v/>
      </c>
    </row>
    <row r="393">
      <c r="A393" s="11">
        <f>IF(B393="","","P"&amp;TEXT(ROW()-1,"000"))</f>
        <v/>
      </c>
      <c r="B393" s="12" t="n"/>
      <c r="C393" s="13" t="n"/>
      <c r="D393" s="14" t="n"/>
      <c r="E393" s="15" t="n"/>
      <c r="F393" s="12" t="n"/>
      <c r="G393" s="16">
        <f>IF(B393="","",D393-SUMIFS(Pagos!$H:$H,Pagos!$B:$B,A393))</f>
        <v/>
      </c>
      <c r="H393" s="16">
        <f>IF(B393="","",SUMIFS(Pagos!$E:$E,Pagos!$B:$B,A393))</f>
        <v/>
      </c>
      <c r="I393" s="16">
        <f>IF(B393="","",SUMIFS(Pagos!$G:$G,Pagos!$B:$B,A393))</f>
        <v/>
      </c>
      <c r="J393" s="17">
        <f>IF(B393="","",IF(COUNTIF(Pagos!$B:$B,A393)=0,"",_xlfn.MAXIFS(Pagos!$D:$D,Pagos!$B:$B,A393)))</f>
        <v/>
      </c>
      <c r="K393" s="11">
        <f>IF(B393="","",IF(J393="",TODAY()-C393,TODAY()-J393))</f>
        <v/>
      </c>
      <c r="L393" s="11">
        <f>IF(B393="","",IF(F393="Diario",1,IF(F393="Semanal",7,IF(F393="Quincenal",15,IF(F393="Mensual",30,30))))+Resumen!$B$2)</f>
        <v/>
      </c>
      <c r="M393" s="11">
        <f>IF(B393="","",IF(G393&lt;=0,"Pagado",IF(K393&gt;L393,"Atrasado","Al dia")))</f>
        <v/>
      </c>
    </row>
    <row r="394">
      <c r="A394" s="11">
        <f>IF(B394="","","P"&amp;TEXT(ROW()-1,"000"))</f>
        <v/>
      </c>
      <c r="B394" s="12" t="n"/>
      <c r="C394" s="13" t="n"/>
      <c r="D394" s="14" t="n"/>
      <c r="E394" s="15" t="n"/>
      <c r="F394" s="12" t="n"/>
      <c r="G394" s="16">
        <f>IF(B394="","",D394-SUMIFS(Pagos!$H:$H,Pagos!$B:$B,A394))</f>
        <v/>
      </c>
      <c r="H394" s="16">
        <f>IF(B394="","",SUMIFS(Pagos!$E:$E,Pagos!$B:$B,A394))</f>
        <v/>
      </c>
      <c r="I394" s="16">
        <f>IF(B394="","",SUMIFS(Pagos!$G:$G,Pagos!$B:$B,A394))</f>
        <v/>
      </c>
      <c r="J394" s="17">
        <f>IF(B394="","",IF(COUNTIF(Pagos!$B:$B,A394)=0,"",_xlfn.MAXIFS(Pagos!$D:$D,Pagos!$B:$B,A394)))</f>
        <v/>
      </c>
      <c r="K394" s="11">
        <f>IF(B394="","",IF(J394="",TODAY()-C394,TODAY()-J394))</f>
        <v/>
      </c>
      <c r="L394" s="11">
        <f>IF(B394="","",IF(F394="Diario",1,IF(F394="Semanal",7,IF(F394="Quincenal",15,IF(F394="Mensual",30,30))))+Resumen!$B$2)</f>
        <v/>
      </c>
      <c r="M394" s="11">
        <f>IF(B394="","",IF(G394&lt;=0,"Pagado",IF(K394&gt;L394,"Atrasado","Al dia")))</f>
        <v/>
      </c>
    </row>
    <row r="395">
      <c r="A395" s="11">
        <f>IF(B395="","","P"&amp;TEXT(ROW()-1,"000"))</f>
        <v/>
      </c>
      <c r="B395" s="12" t="n"/>
      <c r="C395" s="13" t="n"/>
      <c r="D395" s="14" t="n"/>
      <c r="E395" s="15" t="n"/>
      <c r="F395" s="12" t="n"/>
      <c r="G395" s="16">
        <f>IF(B395="","",D395-SUMIFS(Pagos!$H:$H,Pagos!$B:$B,A395))</f>
        <v/>
      </c>
      <c r="H395" s="16">
        <f>IF(B395="","",SUMIFS(Pagos!$E:$E,Pagos!$B:$B,A395))</f>
        <v/>
      </c>
      <c r="I395" s="16">
        <f>IF(B395="","",SUMIFS(Pagos!$G:$G,Pagos!$B:$B,A395))</f>
        <v/>
      </c>
      <c r="J395" s="17">
        <f>IF(B395="","",IF(COUNTIF(Pagos!$B:$B,A395)=0,"",_xlfn.MAXIFS(Pagos!$D:$D,Pagos!$B:$B,A395)))</f>
        <v/>
      </c>
      <c r="K395" s="11">
        <f>IF(B395="","",IF(J395="",TODAY()-C395,TODAY()-J395))</f>
        <v/>
      </c>
      <c r="L395" s="11">
        <f>IF(B395="","",IF(F395="Diario",1,IF(F395="Semanal",7,IF(F395="Quincenal",15,IF(F395="Mensual",30,30))))+Resumen!$B$2)</f>
        <v/>
      </c>
      <c r="M395" s="11">
        <f>IF(B395="","",IF(G395&lt;=0,"Pagado",IF(K395&gt;L395,"Atrasado","Al dia")))</f>
        <v/>
      </c>
    </row>
    <row r="396">
      <c r="A396" s="11">
        <f>IF(B396="","","P"&amp;TEXT(ROW()-1,"000"))</f>
        <v/>
      </c>
      <c r="B396" s="12" t="n"/>
      <c r="C396" s="13" t="n"/>
      <c r="D396" s="14" t="n"/>
      <c r="E396" s="15" t="n"/>
      <c r="F396" s="12" t="n"/>
      <c r="G396" s="16">
        <f>IF(B396="","",D396-SUMIFS(Pagos!$H:$H,Pagos!$B:$B,A396))</f>
        <v/>
      </c>
      <c r="H396" s="16">
        <f>IF(B396="","",SUMIFS(Pagos!$E:$E,Pagos!$B:$B,A396))</f>
        <v/>
      </c>
      <c r="I396" s="16">
        <f>IF(B396="","",SUMIFS(Pagos!$G:$G,Pagos!$B:$B,A396))</f>
        <v/>
      </c>
      <c r="J396" s="17">
        <f>IF(B396="","",IF(COUNTIF(Pagos!$B:$B,A396)=0,"",_xlfn.MAXIFS(Pagos!$D:$D,Pagos!$B:$B,A396)))</f>
        <v/>
      </c>
      <c r="K396" s="11">
        <f>IF(B396="","",IF(J396="",TODAY()-C396,TODAY()-J396))</f>
        <v/>
      </c>
      <c r="L396" s="11">
        <f>IF(B396="","",IF(F396="Diario",1,IF(F396="Semanal",7,IF(F396="Quincenal",15,IF(F396="Mensual",30,30))))+Resumen!$B$2)</f>
        <v/>
      </c>
      <c r="M396" s="11">
        <f>IF(B396="","",IF(G396&lt;=0,"Pagado",IF(K396&gt;L396,"Atrasado","Al dia")))</f>
        <v/>
      </c>
    </row>
    <row r="397">
      <c r="A397" s="11">
        <f>IF(B397="","","P"&amp;TEXT(ROW()-1,"000"))</f>
        <v/>
      </c>
      <c r="B397" s="12" t="n"/>
      <c r="C397" s="13" t="n"/>
      <c r="D397" s="14" t="n"/>
      <c r="E397" s="15" t="n"/>
      <c r="F397" s="12" t="n"/>
      <c r="G397" s="16">
        <f>IF(B397="","",D397-SUMIFS(Pagos!$H:$H,Pagos!$B:$B,A397))</f>
        <v/>
      </c>
      <c r="H397" s="16">
        <f>IF(B397="","",SUMIFS(Pagos!$E:$E,Pagos!$B:$B,A397))</f>
        <v/>
      </c>
      <c r="I397" s="16">
        <f>IF(B397="","",SUMIFS(Pagos!$G:$G,Pagos!$B:$B,A397))</f>
        <v/>
      </c>
      <c r="J397" s="17">
        <f>IF(B397="","",IF(COUNTIF(Pagos!$B:$B,A397)=0,"",_xlfn.MAXIFS(Pagos!$D:$D,Pagos!$B:$B,A397)))</f>
        <v/>
      </c>
      <c r="K397" s="11">
        <f>IF(B397="","",IF(J397="",TODAY()-C397,TODAY()-J397))</f>
        <v/>
      </c>
      <c r="L397" s="11">
        <f>IF(B397="","",IF(F397="Diario",1,IF(F397="Semanal",7,IF(F397="Quincenal",15,IF(F397="Mensual",30,30))))+Resumen!$B$2)</f>
        <v/>
      </c>
      <c r="M397" s="11">
        <f>IF(B397="","",IF(G397&lt;=0,"Pagado",IF(K397&gt;L397,"Atrasado","Al dia")))</f>
        <v/>
      </c>
    </row>
    <row r="398">
      <c r="A398" s="11">
        <f>IF(B398="","","P"&amp;TEXT(ROW()-1,"000"))</f>
        <v/>
      </c>
      <c r="B398" s="12" t="n"/>
      <c r="C398" s="13" t="n"/>
      <c r="D398" s="14" t="n"/>
      <c r="E398" s="15" t="n"/>
      <c r="F398" s="12" t="n"/>
      <c r="G398" s="16">
        <f>IF(B398="","",D398-SUMIFS(Pagos!$H:$H,Pagos!$B:$B,A398))</f>
        <v/>
      </c>
      <c r="H398" s="16">
        <f>IF(B398="","",SUMIFS(Pagos!$E:$E,Pagos!$B:$B,A398))</f>
        <v/>
      </c>
      <c r="I398" s="16">
        <f>IF(B398="","",SUMIFS(Pagos!$G:$G,Pagos!$B:$B,A398))</f>
        <v/>
      </c>
      <c r="J398" s="17">
        <f>IF(B398="","",IF(COUNTIF(Pagos!$B:$B,A398)=0,"",_xlfn.MAXIFS(Pagos!$D:$D,Pagos!$B:$B,A398)))</f>
        <v/>
      </c>
      <c r="K398" s="11">
        <f>IF(B398="","",IF(J398="",TODAY()-C398,TODAY()-J398))</f>
        <v/>
      </c>
      <c r="L398" s="11">
        <f>IF(B398="","",IF(F398="Diario",1,IF(F398="Semanal",7,IF(F398="Quincenal",15,IF(F398="Mensual",30,30))))+Resumen!$B$2)</f>
        <v/>
      </c>
      <c r="M398" s="11">
        <f>IF(B398="","",IF(G398&lt;=0,"Pagado",IF(K398&gt;L398,"Atrasado","Al dia")))</f>
        <v/>
      </c>
    </row>
    <row r="399">
      <c r="A399" s="11">
        <f>IF(B399="","","P"&amp;TEXT(ROW()-1,"000"))</f>
        <v/>
      </c>
      <c r="B399" s="12" t="n"/>
      <c r="C399" s="13" t="n"/>
      <c r="D399" s="14" t="n"/>
      <c r="E399" s="15" t="n"/>
      <c r="F399" s="12" t="n"/>
      <c r="G399" s="16">
        <f>IF(B399="","",D399-SUMIFS(Pagos!$H:$H,Pagos!$B:$B,A399))</f>
        <v/>
      </c>
      <c r="H399" s="16">
        <f>IF(B399="","",SUMIFS(Pagos!$E:$E,Pagos!$B:$B,A399))</f>
        <v/>
      </c>
      <c r="I399" s="16">
        <f>IF(B399="","",SUMIFS(Pagos!$G:$G,Pagos!$B:$B,A399))</f>
        <v/>
      </c>
      <c r="J399" s="17">
        <f>IF(B399="","",IF(COUNTIF(Pagos!$B:$B,A399)=0,"",_xlfn.MAXIFS(Pagos!$D:$D,Pagos!$B:$B,A399)))</f>
        <v/>
      </c>
      <c r="K399" s="11">
        <f>IF(B399="","",IF(J399="",TODAY()-C399,TODAY()-J399))</f>
        <v/>
      </c>
      <c r="L399" s="11">
        <f>IF(B399="","",IF(F399="Diario",1,IF(F399="Semanal",7,IF(F399="Quincenal",15,IF(F399="Mensual",30,30))))+Resumen!$B$2)</f>
        <v/>
      </c>
      <c r="M399" s="11">
        <f>IF(B399="","",IF(G399&lt;=0,"Pagado",IF(K399&gt;L399,"Atrasado","Al dia")))</f>
        <v/>
      </c>
    </row>
    <row r="400">
      <c r="A400" s="11">
        <f>IF(B400="","","P"&amp;TEXT(ROW()-1,"000"))</f>
        <v/>
      </c>
      <c r="B400" s="12" t="n"/>
      <c r="C400" s="13" t="n"/>
      <c r="D400" s="14" t="n"/>
      <c r="E400" s="15" t="n"/>
      <c r="F400" s="12" t="n"/>
      <c r="G400" s="16">
        <f>IF(B400="","",D400-SUMIFS(Pagos!$H:$H,Pagos!$B:$B,A400))</f>
        <v/>
      </c>
      <c r="H400" s="16">
        <f>IF(B400="","",SUMIFS(Pagos!$E:$E,Pagos!$B:$B,A400))</f>
        <v/>
      </c>
      <c r="I400" s="16">
        <f>IF(B400="","",SUMIFS(Pagos!$G:$G,Pagos!$B:$B,A400))</f>
        <v/>
      </c>
      <c r="J400" s="17">
        <f>IF(B400="","",IF(COUNTIF(Pagos!$B:$B,A400)=0,"",_xlfn.MAXIFS(Pagos!$D:$D,Pagos!$B:$B,A400)))</f>
        <v/>
      </c>
      <c r="K400" s="11">
        <f>IF(B400="","",IF(J400="",TODAY()-C400,TODAY()-J400))</f>
        <v/>
      </c>
      <c r="L400" s="11">
        <f>IF(B400="","",IF(F400="Diario",1,IF(F400="Semanal",7,IF(F400="Quincenal",15,IF(F400="Mensual",30,30))))+Resumen!$B$2)</f>
        <v/>
      </c>
      <c r="M400" s="11">
        <f>IF(B400="","",IF(G400&lt;=0,"Pagado",IF(K400&gt;L400,"Atrasado","Al dia")))</f>
        <v/>
      </c>
    </row>
  </sheetData>
  <autoFilter ref="A1:M400"/>
  <conditionalFormatting sqref="M2:M400">
    <cfRule type="cellIs" priority="1" operator="equal" dxfId="0">
      <formula>"Atrasado"</formula>
    </cfRule>
    <cfRule type="cellIs" priority="2" operator="equal" dxfId="1">
      <formula>"Pagado"</formula>
    </cfRule>
    <cfRule type="cellIs" priority="3" operator="equal" dxfId="2">
      <formula>"Al dia"</formula>
    </cfRule>
  </conditionalFormatting>
  <dataValidations count="1">
    <dataValidation sqref="F2:F400" showDropDown="0" showInputMessage="0" showErrorMessage="0" allowBlank="1" type="list">
      <formula1>"Diario,Semanal,Quincenal,Mensual"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0" t="inlineStr">
        <is>
          <t>ID Pago</t>
        </is>
      </c>
      <c r="B1" s="10" t="inlineStr">
        <is>
          <t>ID Prestamo</t>
        </is>
      </c>
      <c r="C1" s="10" t="inlineStr">
        <is>
          <t>Cliente</t>
        </is>
      </c>
      <c r="D1" s="10" t="inlineStr">
        <is>
          <t>Fecha de pago</t>
        </is>
      </c>
      <c r="E1" s="10" t="inlineStr">
        <is>
          <t>Monto pagado</t>
        </is>
      </c>
      <c r="F1" s="10" t="inlineStr">
        <is>
          <t>Saldo anterior</t>
        </is>
      </c>
      <c r="G1" s="10" t="inlineStr">
        <is>
          <t>Interes del periodo</t>
        </is>
      </c>
      <c r="H1" s="10" t="inlineStr">
        <is>
          <t>Abono a capital</t>
        </is>
      </c>
      <c r="I1" s="10" t="inlineStr">
        <is>
          <t>Saldo nuevo</t>
        </is>
      </c>
    </row>
    <row r="2">
      <c r="A2" s="11">
        <f>IF(B2="","","PG"&amp;TEXT(ROW()-1,"0000"))</f>
        <v/>
      </c>
      <c r="B2" s="12" t="inlineStr">
        <is>
          <t>P001</t>
        </is>
      </c>
      <c r="C2" s="11">
        <f>IF(B2="","",INDEX(Prestamos!$B:$B,MATCH(B2,Prestamos!$A:$A,0)))</f>
        <v/>
      </c>
      <c r="D2" s="13" t="inlineStr">
        <is>
          <t>2026-06-15</t>
        </is>
      </c>
      <c r="E2" s="14" t="n">
        <v>15000</v>
      </c>
      <c r="F2" s="16">
        <f>IF(B2="","",INDEX(Prestamos!$D:$D,MATCH(B2,Prestamos!$A:$A,0))-SUMIFS($H$1:H1,$B$1:B1,B2))</f>
        <v/>
      </c>
      <c r="G2" s="16">
        <f>IF(B2="","",F2*INDEX(Prestamos!$E:$E,MATCH(B2,Prestamos!$A:$A,0)))</f>
        <v/>
      </c>
      <c r="H2" s="16">
        <f>IF(B2="","",MAX(0,E2-G2))</f>
        <v/>
      </c>
      <c r="I2" s="16">
        <f>IF(B2="","",F2-H2)</f>
        <v/>
      </c>
    </row>
    <row r="3">
      <c r="A3" s="11">
        <f>IF(B3="","","PG"&amp;TEXT(ROW()-1,"0000"))</f>
        <v/>
      </c>
      <c r="B3" s="12" t="inlineStr">
        <is>
          <t>P001</t>
        </is>
      </c>
      <c r="C3" s="11">
        <f>IF(B3="","",INDEX(Prestamos!$B:$B,MATCH(B3,Prestamos!$A:$A,0)))</f>
        <v/>
      </c>
      <c r="D3" s="13" t="inlineStr">
        <is>
          <t>2026-06-30</t>
        </is>
      </c>
      <c r="E3" s="14" t="n">
        <v>12000</v>
      </c>
      <c r="F3" s="16">
        <f>IF(B3="","",INDEX(Prestamos!$D:$D,MATCH(B3,Prestamos!$A:$A,0))-SUMIFS($H$1:H1,$B$1:B1,B3))</f>
        <v/>
      </c>
      <c r="G3" s="16">
        <f>IF(B3="","",F3*INDEX(Prestamos!$E:$E,MATCH(B3,Prestamos!$A:$A,0)))</f>
        <v/>
      </c>
      <c r="H3" s="16">
        <f>IF(B3="","",MAX(0,E3-G3))</f>
        <v/>
      </c>
      <c r="I3" s="16">
        <f>IF(B3="","",F3-H3)</f>
        <v/>
      </c>
    </row>
    <row r="4">
      <c r="A4" s="11">
        <f>IF(B4="","","PG"&amp;TEXT(ROW()-1,"0000"))</f>
        <v/>
      </c>
      <c r="B4" s="12" t="n"/>
      <c r="C4" s="11">
        <f>IF(B4="","",INDEX(Prestamos!$B:$B,MATCH(B4,Prestamos!$A:$A,0)))</f>
        <v/>
      </c>
      <c r="D4" s="13" t="n"/>
      <c r="E4" s="14" t="n"/>
      <c r="F4" s="16">
        <f>IF(B4="","",INDEX(Prestamos!$D:$D,MATCH(B4,Prestamos!$A:$A,0))-SUMIFS($H$1:H1,$B$1:B1,B4))</f>
        <v/>
      </c>
      <c r="G4" s="16">
        <f>IF(B4="","",F4*INDEX(Prestamos!$E:$E,MATCH(B4,Prestamos!$A:$A,0)))</f>
        <v/>
      </c>
      <c r="H4" s="16">
        <f>IF(B4="","",MAX(0,E4-G4))</f>
        <v/>
      </c>
      <c r="I4" s="16">
        <f>IF(B4="","",F4-H4)</f>
        <v/>
      </c>
    </row>
    <row r="5">
      <c r="A5" s="11">
        <f>IF(B5="","","PG"&amp;TEXT(ROW()-1,"0000"))</f>
        <v/>
      </c>
      <c r="B5" s="12" t="n"/>
      <c r="C5" s="11">
        <f>IF(B5="","",INDEX(Prestamos!$B:$B,MATCH(B5,Prestamos!$A:$A,0)))</f>
        <v/>
      </c>
      <c r="D5" s="13" t="n"/>
      <c r="E5" s="14" t="n"/>
      <c r="F5" s="16">
        <f>IF(B5="","",INDEX(Prestamos!$D:$D,MATCH(B5,Prestamos!$A:$A,0))-SUMIFS($H$1:H1,$B$1:B1,B5))</f>
        <v/>
      </c>
      <c r="G5" s="16">
        <f>IF(B5="","",F5*INDEX(Prestamos!$E:$E,MATCH(B5,Prestamos!$A:$A,0)))</f>
        <v/>
      </c>
      <c r="H5" s="16">
        <f>IF(B5="","",MAX(0,E5-G5))</f>
        <v/>
      </c>
      <c r="I5" s="16">
        <f>IF(B5="","",F5-H5)</f>
        <v/>
      </c>
    </row>
    <row r="6">
      <c r="A6" s="11">
        <f>IF(B6="","","PG"&amp;TEXT(ROW()-1,"0000"))</f>
        <v/>
      </c>
      <c r="B6" s="12" t="n"/>
      <c r="C6" s="11">
        <f>IF(B6="","",INDEX(Prestamos!$B:$B,MATCH(B6,Prestamos!$A:$A,0)))</f>
        <v/>
      </c>
      <c r="D6" s="13" t="n"/>
      <c r="E6" s="14" t="n"/>
      <c r="F6" s="16">
        <f>IF(B6="","",INDEX(Prestamos!$D:$D,MATCH(B6,Prestamos!$A:$A,0))-SUMIFS($H$1:H1,$B$1:B1,B6))</f>
        <v/>
      </c>
      <c r="G6" s="16">
        <f>IF(B6="","",F6*INDEX(Prestamos!$E:$E,MATCH(B6,Prestamos!$A:$A,0)))</f>
        <v/>
      </c>
      <c r="H6" s="16">
        <f>IF(B6="","",MAX(0,E6-G6))</f>
        <v/>
      </c>
      <c r="I6" s="16">
        <f>IF(B6="","",F6-H6)</f>
        <v/>
      </c>
    </row>
    <row r="7">
      <c r="A7" s="11">
        <f>IF(B7="","","PG"&amp;TEXT(ROW()-1,"0000"))</f>
        <v/>
      </c>
      <c r="B7" s="12" t="n"/>
      <c r="C7" s="11">
        <f>IF(B7="","",INDEX(Prestamos!$B:$B,MATCH(B7,Prestamos!$A:$A,0)))</f>
        <v/>
      </c>
      <c r="D7" s="13" t="n"/>
      <c r="E7" s="14" t="n"/>
      <c r="F7" s="16">
        <f>IF(B7="","",INDEX(Prestamos!$D:$D,MATCH(B7,Prestamos!$A:$A,0))-SUMIFS($H$1:H1,$B$1:B1,B7))</f>
        <v/>
      </c>
      <c r="G7" s="16">
        <f>IF(B7="","",F7*INDEX(Prestamos!$E:$E,MATCH(B7,Prestamos!$A:$A,0)))</f>
        <v/>
      </c>
      <c r="H7" s="16">
        <f>IF(B7="","",MAX(0,E7-G7))</f>
        <v/>
      </c>
      <c r="I7" s="16">
        <f>IF(B7="","",F7-H7)</f>
        <v/>
      </c>
    </row>
    <row r="8">
      <c r="A8" s="11">
        <f>IF(B8="","","PG"&amp;TEXT(ROW()-1,"0000"))</f>
        <v/>
      </c>
      <c r="B8" s="12" t="n"/>
      <c r="C8" s="11">
        <f>IF(B8="","",INDEX(Prestamos!$B:$B,MATCH(B8,Prestamos!$A:$A,0)))</f>
        <v/>
      </c>
      <c r="D8" s="13" t="n"/>
      <c r="E8" s="14" t="n"/>
      <c r="F8" s="16">
        <f>IF(B8="","",INDEX(Prestamos!$D:$D,MATCH(B8,Prestamos!$A:$A,0))-SUMIFS($H$1:H1,$B$1:B1,B8))</f>
        <v/>
      </c>
      <c r="G8" s="16">
        <f>IF(B8="","",F8*INDEX(Prestamos!$E:$E,MATCH(B8,Prestamos!$A:$A,0)))</f>
        <v/>
      </c>
      <c r="H8" s="16">
        <f>IF(B8="","",MAX(0,E8-G8))</f>
        <v/>
      </c>
      <c r="I8" s="16">
        <f>IF(B8="","",F8-H8)</f>
        <v/>
      </c>
    </row>
    <row r="9">
      <c r="A9" s="11">
        <f>IF(B9="","","PG"&amp;TEXT(ROW()-1,"0000"))</f>
        <v/>
      </c>
      <c r="B9" s="12" t="n"/>
      <c r="C9" s="11">
        <f>IF(B9="","",INDEX(Prestamos!$B:$B,MATCH(B9,Prestamos!$A:$A,0)))</f>
        <v/>
      </c>
      <c r="D9" s="13" t="n"/>
      <c r="E9" s="14" t="n"/>
      <c r="F9" s="16">
        <f>IF(B9="","",INDEX(Prestamos!$D:$D,MATCH(B9,Prestamos!$A:$A,0))-SUMIFS($H$1:H1,$B$1:B1,B9))</f>
        <v/>
      </c>
      <c r="G9" s="16">
        <f>IF(B9="","",F9*INDEX(Prestamos!$E:$E,MATCH(B9,Prestamos!$A:$A,0)))</f>
        <v/>
      </c>
      <c r="H9" s="16">
        <f>IF(B9="","",MAX(0,E9-G9))</f>
        <v/>
      </c>
      <c r="I9" s="16">
        <f>IF(B9="","",F9-H9)</f>
        <v/>
      </c>
    </row>
    <row r="10">
      <c r="A10" s="11">
        <f>IF(B10="","","PG"&amp;TEXT(ROW()-1,"0000"))</f>
        <v/>
      </c>
      <c r="B10" s="12" t="n"/>
      <c r="C10" s="11">
        <f>IF(B10="","",INDEX(Prestamos!$B:$B,MATCH(B10,Prestamos!$A:$A,0)))</f>
        <v/>
      </c>
      <c r="D10" s="13" t="n"/>
      <c r="E10" s="14" t="n"/>
      <c r="F10" s="16">
        <f>IF(B10="","",INDEX(Prestamos!$D:$D,MATCH(B10,Prestamos!$A:$A,0))-SUMIFS($H$1:H1,$B$1:B1,B10))</f>
        <v/>
      </c>
      <c r="G10" s="16">
        <f>IF(B10="","",F10*INDEX(Prestamos!$E:$E,MATCH(B10,Prestamos!$A:$A,0)))</f>
        <v/>
      </c>
      <c r="H10" s="16">
        <f>IF(B10="","",MAX(0,E10-G10))</f>
        <v/>
      </c>
      <c r="I10" s="16">
        <f>IF(B10="","",F10-H10)</f>
        <v/>
      </c>
    </row>
    <row r="11">
      <c r="A11" s="11">
        <f>IF(B11="","","PG"&amp;TEXT(ROW()-1,"0000"))</f>
        <v/>
      </c>
      <c r="B11" s="12" t="n"/>
      <c r="C11" s="11">
        <f>IF(B11="","",INDEX(Prestamos!$B:$B,MATCH(B11,Prestamos!$A:$A,0)))</f>
        <v/>
      </c>
      <c r="D11" s="13" t="n"/>
      <c r="E11" s="14" t="n"/>
      <c r="F11" s="16">
        <f>IF(B11="","",INDEX(Prestamos!$D:$D,MATCH(B11,Prestamos!$A:$A,0))-SUMIFS($H$1:H1,$B$1:B1,B11))</f>
        <v/>
      </c>
      <c r="G11" s="16">
        <f>IF(B11="","",F11*INDEX(Prestamos!$E:$E,MATCH(B11,Prestamos!$A:$A,0)))</f>
        <v/>
      </c>
      <c r="H11" s="16">
        <f>IF(B11="","",MAX(0,E11-G11))</f>
        <v/>
      </c>
      <c r="I11" s="16">
        <f>IF(B11="","",F11-H11)</f>
        <v/>
      </c>
    </row>
    <row r="12">
      <c r="A12" s="11">
        <f>IF(B12="","","PG"&amp;TEXT(ROW()-1,"0000"))</f>
        <v/>
      </c>
      <c r="B12" s="12" t="n"/>
      <c r="C12" s="11">
        <f>IF(B12="","",INDEX(Prestamos!$B:$B,MATCH(B12,Prestamos!$A:$A,0)))</f>
        <v/>
      </c>
      <c r="D12" s="13" t="n"/>
      <c r="E12" s="14" t="n"/>
      <c r="F12" s="16">
        <f>IF(B12="","",INDEX(Prestamos!$D:$D,MATCH(B12,Prestamos!$A:$A,0))-SUMIFS($H$1:H1,$B$1:B1,B12))</f>
        <v/>
      </c>
      <c r="G12" s="16">
        <f>IF(B12="","",F12*INDEX(Prestamos!$E:$E,MATCH(B12,Prestamos!$A:$A,0)))</f>
        <v/>
      </c>
      <c r="H12" s="16">
        <f>IF(B12="","",MAX(0,E12-G12))</f>
        <v/>
      </c>
      <c r="I12" s="16">
        <f>IF(B12="","",F12-H12)</f>
        <v/>
      </c>
    </row>
    <row r="13">
      <c r="A13" s="11">
        <f>IF(B13="","","PG"&amp;TEXT(ROW()-1,"0000"))</f>
        <v/>
      </c>
      <c r="B13" s="12" t="n"/>
      <c r="C13" s="11">
        <f>IF(B13="","",INDEX(Prestamos!$B:$B,MATCH(B13,Prestamos!$A:$A,0)))</f>
        <v/>
      </c>
      <c r="D13" s="13" t="n"/>
      <c r="E13" s="14" t="n"/>
      <c r="F13" s="16">
        <f>IF(B13="","",INDEX(Prestamos!$D:$D,MATCH(B13,Prestamos!$A:$A,0))-SUMIFS($H$1:H1,$B$1:B1,B13))</f>
        <v/>
      </c>
      <c r="G13" s="16">
        <f>IF(B13="","",F13*INDEX(Prestamos!$E:$E,MATCH(B13,Prestamos!$A:$A,0)))</f>
        <v/>
      </c>
      <c r="H13" s="16">
        <f>IF(B13="","",MAX(0,E13-G13))</f>
        <v/>
      </c>
      <c r="I13" s="16">
        <f>IF(B13="","",F13-H13)</f>
        <v/>
      </c>
    </row>
    <row r="14">
      <c r="A14" s="11">
        <f>IF(B14="","","PG"&amp;TEXT(ROW()-1,"0000"))</f>
        <v/>
      </c>
      <c r="B14" s="12" t="n"/>
      <c r="C14" s="11">
        <f>IF(B14="","",INDEX(Prestamos!$B:$B,MATCH(B14,Prestamos!$A:$A,0)))</f>
        <v/>
      </c>
      <c r="D14" s="13" t="n"/>
      <c r="E14" s="14" t="n"/>
      <c r="F14" s="16">
        <f>IF(B14="","",INDEX(Prestamos!$D:$D,MATCH(B14,Prestamos!$A:$A,0))-SUMIFS($H$1:H1,$B$1:B1,B14))</f>
        <v/>
      </c>
      <c r="G14" s="16">
        <f>IF(B14="","",F14*INDEX(Prestamos!$E:$E,MATCH(B14,Prestamos!$A:$A,0)))</f>
        <v/>
      </c>
      <c r="H14" s="16">
        <f>IF(B14="","",MAX(0,E14-G14))</f>
        <v/>
      </c>
      <c r="I14" s="16">
        <f>IF(B14="","",F14-H14)</f>
        <v/>
      </c>
    </row>
    <row r="15">
      <c r="A15" s="11">
        <f>IF(B15="","","PG"&amp;TEXT(ROW()-1,"0000"))</f>
        <v/>
      </c>
      <c r="B15" s="12" t="n"/>
      <c r="C15" s="11">
        <f>IF(B15="","",INDEX(Prestamos!$B:$B,MATCH(B15,Prestamos!$A:$A,0)))</f>
        <v/>
      </c>
      <c r="D15" s="13" t="n"/>
      <c r="E15" s="14" t="n"/>
      <c r="F15" s="16">
        <f>IF(B15="","",INDEX(Prestamos!$D:$D,MATCH(B15,Prestamos!$A:$A,0))-SUMIFS($H$1:H1,$B$1:B1,B15))</f>
        <v/>
      </c>
      <c r="G15" s="16">
        <f>IF(B15="","",F15*INDEX(Prestamos!$E:$E,MATCH(B15,Prestamos!$A:$A,0)))</f>
        <v/>
      </c>
      <c r="H15" s="16">
        <f>IF(B15="","",MAX(0,E15-G15))</f>
        <v/>
      </c>
      <c r="I15" s="16">
        <f>IF(B15="","",F15-H15)</f>
        <v/>
      </c>
    </row>
    <row r="16">
      <c r="A16" s="11">
        <f>IF(B16="","","PG"&amp;TEXT(ROW()-1,"0000"))</f>
        <v/>
      </c>
      <c r="B16" s="12" t="n"/>
      <c r="C16" s="11">
        <f>IF(B16="","",INDEX(Prestamos!$B:$B,MATCH(B16,Prestamos!$A:$A,0)))</f>
        <v/>
      </c>
      <c r="D16" s="13" t="n"/>
      <c r="E16" s="14" t="n"/>
      <c r="F16" s="16">
        <f>IF(B16="","",INDEX(Prestamos!$D:$D,MATCH(B16,Prestamos!$A:$A,0))-SUMIFS($H$1:H1,$B$1:B1,B16))</f>
        <v/>
      </c>
      <c r="G16" s="16">
        <f>IF(B16="","",F16*INDEX(Prestamos!$E:$E,MATCH(B16,Prestamos!$A:$A,0)))</f>
        <v/>
      </c>
      <c r="H16" s="16">
        <f>IF(B16="","",MAX(0,E16-G16))</f>
        <v/>
      </c>
      <c r="I16" s="16">
        <f>IF(B16="","",F16-H16)</f>
        <v/>
      </c>
    </row>
    <row r="17">
      <c r="A17" s="11">
        <f>IF(B17="","","PG"&amp;TEXT(ROW()-1,"0000"))</f>
        <v/>
      </c>
      <c r="B17" s="12" t="n"/>
      <c r="C17" s="11">
        <f>IF(B17="","",INDEX(Prestamos!$B:$B,MATCH(B17,Prestamos!$A:$A,0)))</f>
        <v/>
      </c>
      <c r="D17" s="13" t="n"/>
      <c r="E17" s="14" t="n"/>
      <c r="F17" s="16">
        <f>IF(B17="","",INDEX(Prestamos!$D:$D,MATCH(B17,Prestamos!$A:$A,0))-SUMIFS($H$1:H1,$B$1:B1,B17))</f>
        <v/>
      </c>
      <c r="G17" s="16">
        <f>IF(B17="","",F17*INDEX(Prestamos!$E:$E,MATCH(B17,Prestamos!$A:$A,0)))</f>
        <v/>
      </c>
      <c r="H17" s="16">
        <f>IF(B17="","",MAX(0,E17-G17))</f>
        <v/>
      </c>
      <c r="I17" s="16">
        <f>IF(B17="","",F17-H17)</f>
        <v/>
      </c>
    </row>
    <row r="18">
      <c r="A18" s="11">
        <f>IF(B18="","","PG"&amp;TEXT(ROW()-1,"0000"))</f>
        <v/>
      </c>
      <c r="B18" s="12" t="n"/>
      <c r="C18" s="11">
        <f>IF(B18="","",INDEX(Prestamos!$B:$B,MATCH(B18,Prestamos!$A:$A,0)))</f>
        <v/>
      </c>
      <c r="D18" s="13" t="n"/>
      <c r="E18" s="14" t="n"/>
      <c r="F18" s="16">
        <f>IF(B18="","",INDEX(Prestamos!$D:$D,MATCH(B18,Prestamos!$A:$A,0))-SUMIFS($H$1:H1,$B$1:B1,B18))</f>
        <v/>
      </c>
      <c r="G18" s="16">
        <f>IF(B18="","",F18*INDEX(Prestamos!$E:$E,MATCH(B18,Prestamos!$A:$A,0)))</f>
        <v/>
      </c>
      <c r="H18" s="16">
        <f>IF(B18="","",MAX(0,E18-G18))</f>
        <v/>
      </c>
      <c r="I18" s="16">
        <f>IF(B18="","",F18-H18)</f>
        <v/>
      </c>
    </row>
    <row r="19">
      <c r="A19" s="11">
        <f>IF(B19="","","PG"&amp;TEXT(ROW()-1,"0000"))</f>
        <v/>
      </c>
      <c r="B19" s="12" t="n"/>
      <c r="C19" s="11">
        <f>IF(B19="","",INDEX(Prestamos!$B:$B,MATCH(B19,Prestamos!$A:$A,0)))</f>
        <v/>
      </c>
      <c r="D19" s="13" t="n"/>
      <c r="E19" s="14" t="n"/>
      <c r="F19" s="16">
        <f>IF(B19="","",INDEX(Prestamos!$D:$D,MATCH(B19,Prestamos!$A:$A,0))-SUMIFS($H$1:H1,$B$1:B1,B19))</f>
        <v/>
      </c>
      <c r="G19" s="16">
        <f>IF(B19="","",F19*INDEX(Prestamos!$E:$E,MATCH(B19,Prestamos!$A:$A,0)))</f>
        <v/>
      </c>
      <c r="H19" s="16">
        <f>IF(B19="","",MAX(0,E19-G19))</f>
        <v/>
      </c>
      <c r="I19" s="16">
        <f>IF(B19="","",F19-H19)</f>
        <v/>
      </c>
    </row>
    <row r="20">
      <c r="A20" s="11">
        <f>IF(B20="","","PG"&amp;TEXT(ROW()-1,"0000"))</f>
        <v/>
      </c>
      <c r="B20" s="12" t="n"/>
      <c r="C20" s="11">
        <f>IF(B20="","",INDEX(Prestamos!$B:$B,MATCH(B20,Prestamos!$A:$A,0)))</f>
        <v/>
      </c>
      <c r="D20" s="13" t="n"/>
      <c r="E20" s="14" t="n"/>
      <c r="F20" s="16">
        <f>IF(B20="","",INDEX(Prestamos!$D:$D,MATCH(B20,Prestamos!$A:$A,0))-SUMIFS($H$1:H1,$B$1:B1,B20))</f>
        <v/>
      </c>
      <c r="G20" s="16">
        <f>IF(B20="","",F20*INDEX(Prestamos!$E:$E,MATCH(B20,Prestamos!$A:$A,0)))</f>
        <v/>
      </c>
      <c r="H20" s="16">
        <f>IF(B20="","",MAX(0,E20-G20))</f>
        <v/>
      </c>
      <c r="I20" s="16">
        <f>IF(B20="","",F20-H20)</f>
        <v/>
      </c>
    </row>
    <row r="21">
      <c r="A21" s="11">
        <f>IF(B21="","","PG"&amp;TEXT(ROW()-1,"0000"))</f>
        <v/>
      </c>
      <c r="B21" s="12" t="n"/>
      <c r="C21" s="11">
        <f>IF(B21="","",INDEX(Prestamos!$B:$B,MATCH(B21,Prestamos!$A:$A,0)))</f>
        <v/>
      </c>
      <c r="D21" s="13" t="n"/>
      <c r="E21" s="14" t="n"/>
      <c r="F21" s="16">
        <f>IF(B21="","",INDEX(Prestamos!$D:$D,MATCH(B21,Prestamos!$A:$A,0))-SUMIFS($H$1:H1,$B$1:B1,B21))</f>
        <v/>
      </c>
      <c r="G21" s="16">
        <f>IF(B21="","",F21*INDEX(Prestamos!$E:$E,MATCH(B21,Prestamos!$A:$A,0)))</f>
        <v/>
      </c>
      <c r="H21" s="16">
        <f>IF(B21="","",MAX(0,E21-G21))</f>
        <v/>
      </c>
      <c r="I21" s="16">
        <f>IF(B21="","",F21-H21)</f>
        <v/>
      </c>
    </row>
    <row r="22">
      <c r="A22" s="11">
        <f>IF(B22="","","PG"&amp;TEXT(ROW()-1,"0000"))</f>
        <v/>
      </c>
      <c r="B22" s="12" t="n"/>
      <c r="C22" s="11">
        <f>IF(B22="","",INDEX(Prestamos!$B:$B,MATCH(B22,Prestamos!$A:$A,0)))</f>
        <v/>
      </c>
      <c r="D22" s="13" t="n"/>
      <c r="E22" s="14" t="n"/>
      <c r="F22" s="16">
        <f>IF(B22="","",INDEX(Prestamos!$D:$D,MATCH(B22,Prestamos!$A:$A,0))-SUMIFS($H$1:H1,$B$1:B1,B22))</f>
        <v/>
      </c>
      <c r="G22" s="16">
        <f>IF(B22="","",F22*INDEX(Prestamos!$E:$E,MATCH(B22,Prestamos!$A:$A,0)))</f>
        <v/>
      </c>
      <c r="H22" s="16">
        <f>IF(B22="","",MAX(0,E22-G22))</f>
        <v/>
      </c>
      <c r="I22" s="16">
        <f>IF(B22="","",F22-H22)</f>
        <v/>
      </c>
    </row>
    <row r="23">
      <c r="A23" s="11">
        <f>IF(B23="","","PG"&amp;TEXT(ROW()-1,"0000"))</f>
        <v/>
      </c>
      <c r="B23" s="12" t="n"/>
      <c r="C23" s="11">
        <f>IF(B23="","",INDEX(Prestamos!$B:$B,MATCH(B23,Prestamos!$A:$A,0)))</f>
        <v/>
      </c>
      <c r="D23" s="13" t="n"/>
      <c r="E23" s="14" t="n"/>
      <c r="F23" s="16">
        <f>IF(B23="","",INDEX(Prestamos!$D:$D,MATCH(B23,Prestamos!$A:$A,0))-SUMIFS($H$1:H1,$B$1:B1,B23))</f>
        <v/>
      </c>
      <c r="G23" s="16">
        <f>IF(B23="","",F23*INDEX(Prestamos!$E:$E,MATCH(B23,Prestamos!$A:$A,0)))</f>
        <v/>
      </c>
      <c r="H23" s="16">
        <f>IF(B23="","",MAX(0,E23-G23))</f>
        <v/>
      </c>
      <c r="I23" s="16">
        <f>IF(B23="","",F23-H23)</f>
        <v/>
      </c>
    </row>
    <row r="24">
      <c r="A24" s="11">
        <f>IF(B24="","","PG"&amp;TEXT(ROW()-1,"0000"))</f>
        <v/>
      </c>
      <c r="B24" s="12" t="n"/>
      <c r="C24" s="11">
        <f>IF(B24="","",INDEX(Prestamos!$B:$B,MATCH(B24,Prestamos!$A:$A,0)))</f>
        <v/>
      </c>
      <c r="D24" s="13" t="n"/>
      <c r="E24" s="14" t="n"/>
      <c r="F24" s="16">
        <f>IF(B24="","",INDEX(Prestamos!$D:$D,MATCH(B24,Prestamos!$A:$A,0))-SUMIFS($H$1:H1,$B$1:B1,B24))</f>
        <v/>
      </c>
      <c r="G24" s="16">
        <f>IF(B24="","",F24*INDEX(Prestamos!$E:$E,MATCH(B24,Prestamos!$A:$A,0)))</f>
        <v/>
      </c>
      <c r="H24" s="16">
        <f>IF(B24="","",MAX(0,E24-G24))</f>
        <v/>
      </c>
      <c r="I24" s="16">
        <f>IF(B24="","",F24-H24)</f>
        <v/>
      </c>
    </row>
    <row r="25">
      <c r="A25" s="11">
        <f>IF(B25="","","PG"&amp;TEXT(ROW()-1,"0000"))</f>
        <v/>
      </c>
      <c r="B25" s="12" t="n"/>
      <c r="C25" s="11">
        <f>IF(B25="","",INDEX(Prestamos!$B:$B,MATCH(B25,Prestamos!$A:$A,0)))</f>
        <v/>
      </c>
      <c r="D25" s="13" t="n"/>
      <c r="E25" s="14" t="n"/>
      <c r="F25" s="16">
        <f>IF(B25="","",INDEX(Prestamos!$D:$D,MATCH(B25,Prestamos!$A:$A,0))-SUMIFS($H$1:H1,$B$1:B1,B25))</f>
        <v/>
      </c>
      <c r="G25" s="16">
        <f>IF(B25="","",F25*INDEX(Prestamos!$E:$E,MATCH(B25,Prestamos!$A:$A,0)))</f>
        <v/>
      </c>
      <c r="H25" s="16">
        <f>IF(B25="","",MAX(0,E25-G25))</f>
        <v/>
      </c>
      <c r="I25" s="16">
        <f>IF(B25="","",F25-H25)</f>
        <v/>
      </c>
    </row>
    <row r="26">
      <c r="A26" s="11">
        <f>IF(B26="","","PG"&amp;TEXT(ROW()-1,"0000"))</f>
        <v/>
      </c>
      <c r="B26" s="12" t="n"/>
      <c r="C26" s="11">
        <f>IF(B26="","",INDEX(Prestamos!$B:$B,MATCH(B26,Prestamos!$A:$A,0)))</f>
        <v/>
      </c>
      <c r="D26" s="13" t="n"/>
      <c r="E26" s="14" t="n"/>
      <c r="F26" s="16">
        <f>IF(B26="","",INDEX(Prestamos!$D:$D,MATCH(B26,Prestamos!$A:$A,0))-SUMIFS($H$1:H1,$B$1:B1,B26))</f>
        <v/>
      </c>
      <c r="G26" s="16">
        <f>IF(B26="","",F26*INDEX(Prestamos!$E:$E,MATCH(B26,Prestamos!$A:$A,0)))</f>
        <v/>
      </c>
      <c r="H26" s="16">
        <f>IF(B26="","",MAX(0,E26-G26))</f>
        <v/>
      </c>
      <c r="I26" s="16">
        <f>IF(B26="","",F26-H26)</f>
        <v/>
      </c>
    </row>
    <row r="27">
      <c r="A27" s="11">
        <f>IF(B27="","","PG"&amp;TEXT(ROW()-1,"0000"))</f>
        <v/>
      </c>
      <c r="B27" s="12" t="n"/>
      <c r="C27" s="11">
        <f>IF(B27="","",INDEX(Prestamos!$B:$B,MATCH(B27,Prestamos!$A:$A,0)))</f>
        <v/>
      </c>
      <c r="D27" s="13" t="n"/>
      <c r="E27" s="14" t="n"/>
      <c r="F27" s="16">
        <f>IF(B27="","",INDEX(Prestamos!$D:$D,MATCH(B27,Prestamos!$A:$A,0))-SUMIFS($H$1:H1,$B$1:B1,B27))</f>
        <v/>
      </c>
      <c r="G27" s="16">
        <f>IF(B27="","",F27*INDEX(Prestamos!$E:$E,MATCH(B27,Prestamos!$A:$A,0)))</f>
        <v/>
      </c>
      <c r="H27" s="16">
        <f>IF(B27="","",MAX(0,E27-G27))</f>
        <v/>
      </c>
      <c r="I27" s="16">
        <f>IF(B27="","",F27-H27)</f>
        <v/>
      </c>
    </row>
    <row r="28">
      <c r="A28" s="11">
        <f>IF(B28="","","PG"&amp;TEXT(ROW()-1,"0000"))</f>
        <v/>
      </c>
      <c r="B28" s="12" t="n"/>
      <c r="C28" s="11">
        <f>IF(B28="","",INDEX(Prestamos!$B:$B,MATCH(B28,Prestamos!$A:$A,0)))</f>
        <v/>
      </c>
      <c r="D28" s="13" t="n"/>
      <c r="E28" s="14" t="n"/>
      <c r="F28" s="16">
        <f>IF(B28="","",INDEX(Prestamos!$D:$D,MATCH(B28,Prestamos!$A:$A,0))-SUMIFS($H$1:H1,$B$1:B1,B28))</f>
        <v/>
      </c>
      <c r="G28" s="16">
        <f>IF(B28="","",F28*INDEX(Prestamos!$E:$E,MATCH(B28,Prestamos!$A:$A,0)))</f>
        <v/>
      </c>
      <c r="H28" s="16">
        <f>IF(B28="","",MAX(0,E28-G28))</f>
        <v/>
      </c>
      <c r="I28" s="16">
        <f>IF(B28="","",F28-H28)</f>
        <v/>
      </c>
    </row>
    <row r="29">
      <c r="A29" s="11">
        <f>IF(B29="","","PG"&amp;TEXT(ROW()-1,"0000"))</f>
        <v/>
      </c>
      <c r="B29" s="12" t="n"/>
      <c r="C29" s="11">
        <f>IF(B29="","",INDEX(Prestamos!$B:$B,MATCH(B29,Prestamos!$A:$A,0)))</f>
        <v/>
      </c>
      <c r="D29" s="13" t="n"/>
      <c r="E29" s="14" t="n"/>
      <c r="F29" s="16">
        <f>IF(B29="","",INDEX(Prestamos!$D:$D,MATCH(B29,Prestamos!$A:$A,0))-SUMIFS($H$1:H1,$B$1:B1,B29))</f>
        <v/>
      </c>
      <c r="G29" s="16">
        <f>IF(B29="","",F29*INDEX(Prestamos!$E:$E,MATCH(B29,Prestamos!$A:$A,0)))</f>
        <v/>
      </c>
      <c r="H29" s="16">
        <f>IF(B29="","",MAX(0,E29-G29))</f>
        <v/>
      </c>
      <c r="I29" s="16">
        <f>IF(B29="","",F29-H29)</f>
        <v/>
      </c>
    </row>
    <row r="30">
      <c r="A30" s="11">
        <f>IF(B30="","","PG"&amp;TEXT(ROW()-1,"0000"))</f>
        <v/>
      </c>
      <c r="B30" s="12" t="n"/>
      <c r="C30" s="11">
        <f>IF(B30="","",INDEX(Prestamos!$B:$B,MATCH(B30,Prestamos!$A:$A,0)))</f>
        <v/>
      </c>
      <c r="D30" s="13" t="n"/>
      <c r="E30" s="14" t="n"/>
      <c r="F30" s="16">
        <f>IF(B30="","",INDEX(Prestamos!$D:$D,MATCH(B30,Prestamos!$A:$A,0))-SUMIFS($H$1:H1,$B$1:B1,B30))</f>
        <v/>
      </c>
      <c r="G30" s="16">
        <f>IF(B30="","",F30*INDEX(Prestamos!$E:$E,MATCH(B30,Prestamos!$A:$A,0)))</f>
        <v/>
      </c>
      <c r="H30" s="16">
        <f>IF(B30="","",MAX(0,E30-G30))</f>
        <v/>
      </c>
      <c r="I30" s="16">
        <f>IF(B30="","",F30-H30)</f>
        <v/>
      </c>
    </row>
    <row r="31">
      <c r="A31" s="11">
        <f>IF(B31="","","PG"&amp;TEXT(ROW()-1,"0000"))</f>
        <v/>
      </c>
      <c r="B31" s="12" t="n"/>
      <c r="C31" s="11">
        <f>IF(B31="","",INDEX(Prestamos!$B:$B,MATCH(B31,Prestamos!$A:$A,0)))</f>
        <v/>
      </c>
      <c r="D31" s="13" t="n"/>
      <c r="E31" s="14" t="n"/>
      <c r="F31" s="16">
        <f>IF(B31="","",INDEX(Prestamos!$D:$D,MATCH(B31,Prestamos!$A:$A,0))-SUMIFS($H$1:H1,$B$1:B1,B31))</f>
        <v/>
      </c>
      <c r="G31" s="16">
        <f>IF(B31="","",F31*INDEX(Prestamos!$E:$E,MATCH(B31,Prestamos!$A:$A,0)))</f>
        <v/>
      </c>
      <c r="H31" s="16">
        <f>IF(B31="","",MAX(0,E31-G31))</f>
        <v/>
      </c>
      <c r="I31" s="16">
        <f>IF(B31="","",F31-H31)</f>
        <v/>
      </c>
    </row>
    <row r="32">
      <c r="A32" s="11">
        <f>IF(B32="","","PG"&amp;TEXT(ROW()-1,"0000"))</f>
        <v/>
      </c>
      <c r="B32" s="12" t="n"/>
      <c r="C32" s="11">
        <f>IF(B32="","",INDEX(Prestamos!$B:$B,MATCH(B32,Prestamos!$A:$A,0)))</f>
        <v/>
      </c>
      <c r="D32" s="13" t="n"/>
      <c r="E32" s="14" t="n"/>
      <c r="F32" s="16">
        <f>IF(B32="","",INDEX(Prestamos!$D:$D,MATCH(B32,Prestamos!$A:$A,0))-SUMIFS($H$1:H1,$B$1:B1,B32))</f>
        <v/>
      </c>
      <c r="G32" s="16">
        <f>IF(B32="","",F32*INDEX(Prestamos!$E:$E,MATCH(B32,Prestamos!$A:$A,0)))</f>
        <v/>
      </c>
      <c r="H32" s="16">
        <f>IF(B32="","",MAX(0,E32-G32))</f>
        <v/>
      </c>
      <c r="I32" s="16">
        <f>IF(B32="","",F32-H32)</f>
        <v/>
      </c>
    </row>
    <row r="33">
      <c r="A33" s="11">
        <f>IF(B33="","","PG"&amp;TEXT(ROW()-1,"0000"))</f>
        <v/>
      </c>
      <c r="B33" s="12" t="n"/>
      <c r="C33" s="11">
        <f>IF(B33="","",INDEX(Prestamos!$B:$B,MATCH(B33,Prestamos!$A:$A,0)))</f>
        <v/>
      </c>
      <c r="D33" s="13" t="n"/>
      <c r="E33" s="14" t="n"/>
      <c r="F33" s="16">
        <f>IF(B33="","",INDEX(Prestamos!$D:$D,MATCH(B33,Prestamos!$A:$A,0))-SUMIFS($H$1:H1,$B$1:B1,B33))</f>
        <v/>
      </c>
      <c r="G33" s="16">
        <f>IF(B33="","",F33*INDEX(Prestamos!$E:$E,MATCH(B33,Prestamos!$A:$A,0)))</f>
        <v/>
      </c>
      <c r="H33" s="16">
        <f>IF(B33="","",MAX(0,E33-G33))</f>
        <v/>
      </c>
      <c r="I33" s="16">
        <f>IF(B33="","",F33-H33)</f>
        <v/>
      </c>
    </row>
    <row r="34">
      <c r="A34" s="11">
        <f>IF(B34="","","PG"&amp;TEXT(ROW()-1,"0000"))</f>
        <v/>
      </c>
      <c r="B34" s="12" t="n"/>
      <c r="C34" s="11">
        <f>IF(B34="","",INDEX(Prestamos!$B:$B,MATCH(B34,Prestamos!$A:$A,0)))</f>
        <v/>
      </c>
      <c r="D34" s="13" t="n"/>
      <c r="E34" s="14" t="n"/>
      <c r="F34" s="16">
        <f>IF(B34="","",INDEX(Prestamos!$D:$D,MATCH(B34,Prestamos!$A:$A,0))-SUMIFS($H$1:H1,$B$1:B1,B34))</f>
        <v/>
      </c>
      <c r="G34" s="16">
        <f>IF(B34="","",F34*INDEX(Prestamos!$E:$E,MATCH(B34,Prestamos!$A:$A,0)))</f>
        <v/>
      </c>
      <c r="H34" s="16">
        <f>IF(B34="","",MAX(0,E34-G34))</f>
        <v/>
      </c>
      <c r="I34" s="16">
        <f>IF(B34="","",F34-H34)</f>
        <v/>
      </c>
    </row>
    <row r="35">
      <c r="A35" s="11">
        <f>IF(B35="","","PG"&amp;TEXT(ROW()-1,"0000"))</f>
        <v/>
      </c>
      <c r="B35" s="12" t="n"/>
      <c r="C35" s="11">
        <f>IF(B35="","",INDEX(Prestamos!$B:$B,MATCH(B35,Prestamos!$A:$A,0)))</f>
        <v/>
      </c>
      <c r="D35" s="13" t="n"/>
      <c r="E35" s="14" t="n"/>
      <c r="F35" s="16">
        <f>IF(B35="","",INDEX(Prestamos!$D:$D,MATCH(B35,Prestamos!$A:$A,0))-SUMIFS($H$1:H1,$B$1:B1,B35))</f>
        <v/>
      </c>
      <c r="G35" s="16">
        <f>IF(B35="","",F35*INDEX(Prestamos!$E:$E,MATCH(B35,Prestamos!$A:$A,0)))</f>
        <v/>
      </c>
      <c r="H35" s="16">
        <f>IF(B35="","",MAX(0,E35-G35))</f>
        <v/>
      </c>
      <c r="I35" s="16">
        <f>IF(B35="","",F35-H35)</f>
        <v/>
      </c>
    </row>
    <row r="36">
      <c r="A36" s="11">
        <f>IF(B36="","","PG"&amp;TEXT(ROW()-1,"0000"))</f>
        <v/>
      </c>
      <c r="B36" s="12" t="n"/>
      <c r="C36" s="11">
        <f>IF(B36="","",INDEX(Prestamos!$B:$B,MATCH(B36,Prestamos!$A:$A,0)))</f>
        <v/>
      </c>
      <c r="D36" s="13" t="n"/>
      <c r="E36" s="14" t="n"/>
      <c r="F36" s="16">
        <f>IF(B36="","",INDEX(Prestamos!$D:$D,MATCH(B36,Prestamos!$A:$A,0))-SUMIFS($H$1:H1,$B$1:B1,B36))</f>
        <v/>
      </c>
      <c r="G36" s="16">
        <f>IF(B36="","",F36*INDEX(Prestamos!$E:$E,MATCH(B36,Prestamos!$A:$A,0)))</f>
        <v/>
      </c>
      <c r="H36" s="16">
        <f>IF(B36="","",MAX(0,E36-G36))</f>
        <v/>
      </c>
      <c r="I36" s="16">
        <f>IF(B36="","",F36-H36)</f>
        <v/>
      </c>
    </row>
    <row r="37">
      <c r="A37" s="11">
        <f>IF(B37="","","PG"&amp;TEXT(ROW()-1,"0000"))</f>
        <v/>
      </c>
      <c r="B37" s="12" t="n"/>
      <c r="C37" s="11">
        <f>IF(B37="","",INDEX(Prestamos!$B:$B,MATCH(B37,Prestamos!$A:$A,0)))</f>
        <v/>
      </c>
      <c r="D37" s="13" t="n"/>
      <c r="E37" s="14" t="n"/>
      <c r="F37" s="16">
        <f>IF(B37="","",INDEX(Prestamos!$D:$D,MATCH(B37,Prestamos!$A:$A,0))-SUMIFS($H$1:H1,$B$1:B1,B37))</f>
        <v/>
      </c>
      <c r="G37" s="16">
        <f>IF(B37="","",F37*INDEX(Prestamos!$E:$E,MATCH(B37,Prestamos!$A:$A,0)))</f>
        <v/>
      </c>
      <c r="H37" s="16">
        <f>IF(B37="","",MAX(0,E37-G37))</f>
        <v/>
      </c>
      <c r="I37" s="16">
        <f>IF(B37="","",F37-H37)</f>
        <v/>
      </c>
    </row>
    <row r="38">
      <c r="A38" s="11">
        <f>IF(B38="","","PG"&amp;TEXT(ROW()-1,"0000"))</f>
        <v/>
      </c>
      <c r="B38" s="12" t="n"/>
      <c r="C38" s="11">
        <f>IF(B38="","",INDEX(Prestamos!$B:$B,MATCH(B38,Prestamos!$A:$A,0)))</f>
        <v/>
      </c>
      <c r="D38" s="13" t="n"/>
      <c r="E38" s="14" t="n"/>
      <c r="F38" s="16">
        <f>IF(B38="","",INDEX(Prestamos!$D:$D,MATCH(B38,Prestamos!$A:$A,0))-SUMIFS($H$1:H1,$B$1:B1,B38))</f>
        <v/>
      </c>
      <c r="G38" s="16">
        <f>IF(B38="","",F38*INDEX(Prestamos!$E:$E,MATCH(B38,Prestamos!$A:$A,0)))</f>
        <v/>
      </c>
      <c r="H38" s="16">
        <f>IF(B38="","",MAX(0,E38-G38))</f>
        <v/>
      </c>
      <c r="I38" s="16">
        <f>IF(B38="","",F38-H38)</f>
        <v/>
      </c>
    </row>
    <row r="39">
      <c r="A39" s="11">
        <f>IF(B39="","","PG"&amp;TEXT(ROW()-1,"0000"))</f>
        <v/>
      </c>
      <c r="B39" s="12" t="n"/>
      <c r="C39" s="11">
        <f>IF(B39="","",INDEX(Prestamos!$B:$B,MATCH(B39,Prestamos!$A:$A,0)))</f>
        <v/>
      </c>
      <c r="D39" s="13" t="n"/>
      <c r="E39" s="14" t="n"/>
      <c r="F39" s="16">
        <f>IF(B39="","",INDEX(Prestamos!$D:$D,MATCH(B39,Prestamos!$A:$A,0))-SUMIFS($H$1:H1,$B$1:B1,B39))</f>
        <v/>
      </c>
      <c r="G39" s="16">
        <f>IF(B39="","",F39*INDEX(Prestamos!$E:$E,MATCH(B39,Prestamos!$A:$A,0)))</f>
        <v/>
      </c>
      <c r="H39" s="16">
        <f>IF(B39="","",MAX(0,E39-G39))</f>
        <v/>
      </c>
      <c r="I39" s="16">
        <f>IF(B39="","",F39-H39)</f>
        <v/>
      </c>
    </row>
    <row r="40">
      <c r="A40" s="11">
        <f>IF(B40="","","PG"&amp;TEXT(ROW()-1,"0000"))</f>
        <v/>
      </c>
      <c r="B40" s="12" t="n"/>
      <c r="C40" s="11">
        <f>IF(B40="","",INDEX(Prestamos!$B:$B,MATCH(B40,Prestamos!$A:$A,0)))</f>
        <v/>
      </c>
      <c r="D40" s="13" t="n"/>
      <c r="E40" s="14" t="n"/>
      <c r="F40" s="16">
        <f>IF(B40="","",INDEX(Prestamos!$D:$D,MATCH(B40,Prestamos!$A:$A,0))-SUMIFS($H$1:H1,$B$1:B1,B40))</f>
        <v/>
      </c>
      <c r="G40" s="16">
        <f>IF(B40="","",F40*INDEX(Prestamos!$E:$E,MATCH(B40,Prestamos!$A:$A,0)))</f>
        <v/>
      </c>
      <c r="H40" s="16">
        <f>IF(B40="","",MAX(0,E40-G40))</f>
        <v/>
      </c>
      <c r="I40" s="16">
        <f>IF(B40="","",F40-H40)</f>
        <v/>
      </c>
    </row>
    <row r="41">
      <c r="A41" s="11">
        <f>IF(B41="","","PG"&amp;TEXT(ROW()-1,"0000"))</f>
        <v/>
      </c>
      <c r="B41" s="12" t="n"/>
      <c r="C41" s="11">
        <f>IF(B41="","",INDEX(Prestamos!$B:$B,MATCH(B41,Prestamos!$A:$A,0)))</f>
        <v/>
      </c>
      <c r="D41" s="13" t="n"/>
      <c r="E41" s="14" t="n"/>
      <c r="F41" s="16">
        <f>IF(B41="","",INDEX(Prestamos!$D:$D,MATCH(B41,Prestamos!$A:$A,0))-SUMIFS($H$1:H1,$B$1:B1,B41))</f>
        <v/>
      </c>
      <c r="G41" s="16">
        <f>IF(B41="","",F41*INDEX(Prestamos!$E:$E,MATCH(B41,Prestamos!$A:$A,0)))</f>
        <v/>
      </c>
      <c r="H41" s="16">
        <f>IF(B41="","",MAX(0,E41-G41))</f>
        <v/>
      </c>
      <c r="I41" s="16">
        <f>IF(B41="","",F41-H41)</f>
        <v/>
      </c>
    </row>
    <row r="42">
      <c r="A42" s="11">
        <f>IF(B42="","","PG"&amp;TEXT(ROW()-1,"0000"))</f>
        <v/>
      </c>
      <c r="B42" s="12" t="n"/>
      <c r="C42" s="11">
        <f>IF(B42="","",INDEX(Prestamos!$B:$B,MATCH(B42,Prestamos!$A:$A,0)))</f>
        <v/>
      </c>
      <c r="D42" s="13" t="n"/>
      <c r="E42" s="14" t="n"/>
      <c r="F42" s="16">
        <f>IF(B42="","",INDEX(Prestamos!$D:$D,MATCH(B42,Prestamos!$A:$A,0))-SUMIFS($H$1:H1,$B$1:B1,B42))</f>
        <v/>
      </c>
      <c r="G42" s="16">
        <f>IF(B42="","",F42*INDEX(Prestamos!$E:$E,MATCH(B42,Prestamos!$A:$A,0)))</f>
        <v/>
      </c>
      <c r="H42" s="16">
        <f>IF(B42="","",MAX(0,E42-G42))</f>
        <v/>
      </c>
      <c r="I42" s="16">
        <f>IF(B42="","",F42-H42)</f>
        <v/>
      </c>
    </row>
    <row r="43">
      <c r="A43" s="11">
        <f>IF(B43="","","PG"&amp;TEXT(ROW()-1,"0000"))</f>
        <v/>
      </c>
      <c r="B43" s="12" t="n"/>
      <c r="C43" s="11">
        <f>IF(B43="","",INDEX(Prestamos!$B:$B,MATCH(B43,Prestamos!$A:$A,0)))</f>
        <v/>
      </c>
      <c r="D43" s="13" t="n"/>
      <c r="E43" s="14" t="n"/>
      <c r="F43" s="16">
        <f>IF(B43="","",INDEX(Prestamos!$D:$D,MATCH(B43,Prestamos!$A:$A,0))-SUMIFS($H$1:H1,$B$1:B1,B43))</f>
        <v/>
      </c>
      <c r="G43" s="16">
        <f>IF(B43="","",F43*INDEX(Prestamos!$E:$E,MATCH(B43,Prestamos!$A:$A,0)))</f>
        <v/>
      </c>
      <c r="H43" s="16">
        <f>IF(B43="","",MAX(0,E43-G43))</f>
        <v/>
      </c>
      <c r="I43" s="16">
        <f>IF(B43="","",F43-H43)</f>
        <v/>
      </c>
    </row>
    <row r="44">
      <c r="A44" s="11">
        <f>IF(B44="","","PG"&amp;TEXT(ROW()-1,"0000"))</f>
        <v/>
      </c>
      <c r="B44" s="12" t="n"/>
      <c r="C44" s="11">
        <f>IF(B44="","",INDEX(Prestamos!$B:$B,MATCH(B44,Prestamos!$A:$A,0)))</f>
        <v/>
      </c>
      <c r="D44" s="13" t="n"/>
      <c r="E44" s="14" t="n"/>
      <c r="F44" s="16">
        <f>IF(B44="","",INDEX(Prestamos!$D:$D,MATCH(B44,Prestamos!$A:$A,0))-SUMIFS($H$1:H1,$B$1:B1,B44))</f>
        <v/>
      </c>
      <c r="G44" s="16">
        <f>IF(B44="","",F44*INDEX(Prestamos!$E:$E,MATCH(B44,Prestamos!$A:$A,0)))</f>
        <v/>
      </c>
      <c r="H44" s="16">
        <f>IF(B44="","",MAX(0,E44-G44))</f>
        <v/>
      </c>
      <c r="I44" s="16">
        <f>IF(B44="","",F44-H44)</f>
        <v/>
      </c>
    </row>
    <row r="45">
      <c r="A45" s="11">
        <f>IF(B45="","","PG"&amp;TEXT(ROW()-1,"0000"))</f>
        <v/>
      </c>
      <c r="B45" s="12" t="n"/>
      <c r="C45" s="11">
        <f>IF(B45="","",INDEX(Prestamos!$B:$B,MATCH(B45,Prestamos!$A:$A,0)))</f>
        <v/>
      </c>
      <c r="D45" s="13" t="n"/>
      <c r="E45" s="14" t="n"/>
      <c r="F45" s="16">
        <f>IF(B45="","",INDEX(Prestamos!$D:$D,MATCH(B45,Prestamos!$A:$A,0))-SUMIFS($H$1:H1,$B$1:B1,B45))</f>
        <v/>
      </c>
      <c r="G45" s="16">
        <f>IF(B45="","",F45*INDEX(Prestamos!$E:$E,MATCH(B45,Prestamos!$A:$A,0)))</f>
        <v/>
      </c>
      <c r="H45" s="16">
        <f>IF(B45="","",MAX(0,E45-G45))</f>
        <v/>
      </c>
      <c r="I45" s="16">
        <f>IF(B45="","",F45-H45)</f>
        <v/>
      </c>
    </row>
    <row r="46">
      <c r="A46" s="11">
        <f>IF(B46="","","PG"&amp;TEXT(ROW()-1,"0000"))</f>
        <v/>
      </c>
      <c r="B46" s="12" t="n"/>
      <c r="C46" s="11">
        <f>IF(B46="","",INDEX(Prestamos!$B:$B,MATCH(B46,Prestamos!$A:$A,0)))</f>
        <v/>
      </c>
      <c r="D46" s="13" t="n"/>
      <c r="E46" s="14" t="n"/>
      <c r="F46" s="16">
        <f>IF(B46="","",INDEX(Prestamos!$D:$D,MATCH(B46,Prestamos!$A:$A,0))-SUMIFS($H$1:H1,$B$1:B1,B46))</f>
        <v/>
      </c>
      <c r="G46" s="16">
        <f>IF(B46="","",F46*INDEX(Prestamos!$E:$E,MATCH(B46,Prestamos!$A:$A,0)))</f>
        <v/>
      </c>
      <c r="H46" s="16">
        <f>IF(B46="","",MAX(0,E46-G46))</f>
        <v/>
      </c>
      <c r="I46" s="16">
        <f>IF(B46="","",F46-H46)</f>
        <v/>
      </c>
    </row>
    <row r="47">
      <c r="A47" s="11">
        <f>IF(B47="","","PG"&amp;TEXT(ROW()-1,"0000"))</f>
        <v/>
      </c>
      <c r="B47" s="12" t="n"/>
      <c r="C47" s="11">
        <f>IF(B47="","",INDEX(Prestamos!$B:$B,MATCH(B47,Prestamos!$A:$A,0)))</f>
        <v/>
      </c>
      <c r="D47" s="13" t="n"/>
      <c r="E47" s="14" t="n"/>
      <c r="F47" s="16">
        <f>IF(B47="","",INDEX(Prestamos!$D:$D,MATCH(B47,Prestamos!$A:$A,0))-SUMIFS($H$1:H1,$B$1:B1,B47))</f>
        <v/>
      </c>
      <c r="G47" s="16">
        <f>IF(B47="","",F47*INDEX(Prestamos!$E:$E,MATCH(B47,Prestamos!$A:$A,0)))</f>
        <v/>
      </c>
      <c r="H47" s="16">
        <f>IF(B47="","",MAX(0,E47-G47))</f>
        <v/>
      </c>
      <c r="I47" s="16">
        <f>IF(B47="","",F47-H47)</f>
        <v/>
      </c>
    </row>
    <row r="48">
      <c r="A48" s="11">
        <f>IF(B48="","","PG"&amp;TEXT(ROW()-1,"0000"))</f>
        <v/>
      </c>
      <c r="B48" s="12" t="n"/>
      <c r="C48" s="11">
        <f>IF(B48="","",INDEX(Prestamos!$B:$B,MATCH(B48,Prestamos!$A:$A,0)))</f>
        <v/>
      </c>
      <c r="D48" s="13" t="n"/>
      <c r="E48" s="14" t="n"/>
      <c r="F48" s="16">
        <f>IF(B48="","",INDEX(Prestamos!$D:$D,MATCH(B48,Prestamos!$A:$A,0))-SUMIFS($H$1:H1,$B$1:B1,B48))</f>
        <v/>
      </c>
      <c r="G48" s="16">
        <f>IF(B48="","",F48*INDEX(Prestamos!$E:$E,MATCH(B48,Prestamos!$A:$A,0)))</f>
        <v/>
      </c>
      <c r="H48" s="16">
        <f>IF(B48="","",MAX(0,E48-G48))</f>
        <v/>
      </c>
      <c r="I48" s="16">
        <f>IF(B48="","",F48-H48)</f>
        <v/>
      </c>
    </row>
    <row r="49">
      <c r="A49" s="11">
        <f>IF(B49="","","PG"&amp;TEXT(ROW()-1,"0000"))</f>
        <v/>
      </c>
      <c r="B49" s="12" t="n"/>
      <c r="C49" s="11">
        <f>IF(B49="","",INDEX(Prestamos!$B:$B,MATCH(B49,Prestamos!$A:$A,0)))</f>
        <v/>
      </c>
      <c r="D49" s="13" t="n"/>
      <c r="E49" s="14" t="n"/>
      <c r="F49" s="16">
        <f>IF(B49="","",INDEX(Prestamos!$D:$D,MATCH(B49,Prestamos!$A:$A,0))-SUMIFS($H$1:H1,$B$1:B1,B49))</f>
        <v/>
      </c>
      <c r="G49" s="16">
        <f>IF(B49="","",F49*INDEX(Prestamos!$E:$E,MATCH(B49,Prestamos!$A:$A,0)))</f>
        <v/>
      </c>
      <c r="H49" s="16">
        <f>IF(B49="","",MAX(0,E49-G49))</f>
        <v/>
      </c>
      <c r="I49" s="16">
        <f>IF(B49="","",F49-H49)</f>
        <v/>
      </c>
    </row>
    <row r="50">
      <c r="A50" s="11">
        <f>IF(B50="","","PG"&amp;TEXT(ROW()-1,"0000"))</f>
        <v/>
      </c>
      <c r="B50" s="12" t="n"/>
      <c r="C50" s="11">
        <f>IF(B50="","",INDEX(Prestamos!$B:$B,MATCH(B50,Prestamos!$A:$A,0)))</f>
        <v/>
      </c>
      <c r="D50" s="13" t="n"/>
      <c r="E50" s="14" t="n"/>
      <c r="F50" s="16">
        <f>IF(B50="","",INDEX(Prestamos!$D:$D,MATCH(B50,Prestamos!$A:$A,0))-SUMIFS($H$1:H1,$B$1:B1,B50))</f>
        <v/>
      </c>
      <c r="G50" s="16">
        <f>IF(B50="","",F50*INDEX(Prestamos!$E:$E,MATCH(B50,Prestamos!$A:$A,0)))</f>
        <v/>
      </c>
      <c r="H50" s="16">
        <f>IF(B50="","",MAX(0,E50-G50))</f>
        <v/>
      </c>
      <c r="I50" s="16">
        <f>IF(B50="","",F50-H50)</f>
        <v/>
      </c>
    </row>
    <row r="51">
      <c r="A51" s="11">
        <f>IF(B51="","","PG"&amp;TEXT(ROW()-1,"0000"))</f>
        <v/>
      </c>
      <c r="B51" s="12" t="n"/>
      <c r="C51" s="11">
        <f>IF(B51="","",INDEX(Prestamos!$B:$B,MATCH(B51,Prestamos!$A:$A,0)))</f>
        <v/>
      </c>
      <c r="D51" s="13" t="n"/>
      <c r="E51" s="14" t="n"/>
      <c r="F51" s="16">
        <f>IF(B51="","",INDEX(Prestamos!$D:$D,MATCH(B51,Prestamos!$A:$A,0))-SUMIFS($H$1:H1,$B$1:B1,B51))</f>
        <v/>
      </c>
      <c r="G51" s="16">
        <f>IF(B51="","",F51*INDEX(Prestamos!$E:$E,MATCH(B51,Prestamos!$A:$A,0)))</f>
        <v/>
      </c>
      <c r="H51" s="16">
        <f>IF(B51="","",MAX(0,E51-G51))</f>
        <v/>
      </c>
      <c r="I51" s="16">
        <f>IF(B51="","",F51-H51)</f>
        <v/>
      </c>
    </row>
    <row r="52">
      <c r="A52" s="11">
        <f>IF(B52="","","PG"&amp;TEXT(ROW()-1,"0000"))</f>
        <v/>
      </c>
      <c r="B52" s="12" t="n"/>
      <c r="C52" s="11">
        <f>IF(B52="","",INDEX(Prestamos!$B:$B,MATCH(B52,Prestamos!$A:$A,0)))</f>
        <v/>
      </c>
      <c r="D52" s="13" t="n"/>
      <c r="E52" s="14" t="n"/>
      <c r="F52" s="16">
        <f>IF(B52="","",INDEX(Prestamos!$D:$D,MATCH(B52,Prestamos!$A:$A,0))-SUMIFS($H$1:H1,$B$1:B1,B52))</f>
        <v/>
      </c>
      <c r="G52" s="16">
        <f>IF(B52="","",F52*INDEX(Prestamos!$E:$E,MATCH(B52,Prestamos!$A:$A,0)))</f>
        <v/>
      </c>
      <c r="H52" s="16">
        <f>IF(B52="","",MAX(0,E52-G52))</f>
        <v/>
      </c>
      <c r="I52" s="16">
        <f>IF(B52="","",F52-H52)</f>
        <v/>
      </c>
    </row>
    <row r="53">
      <c r="A53" s="11">
        <f>IF(B53="","","PG"&amp;TEXT(ROW()-1,"0000"))</f>
        <v/>
      </c>
      <c r="B53" s="12" t="n"/>
      <c r="C53" s="11">
        <f>IF(B53="","",INDEX(Prestamos!$B:$B,MATCH(B53,Prestamos!$A:$A,0)))</f>
        <v/>
      </c>
      <c r="D53" s="13" t="n"/>
      <c r="E53" s="14" t="n"/>
      <c r="F53" s="16">
        <f>IF(B53="","",INDEX(Prestamos!$D:$D,MATCH(B53,Prestamos!$A:$A,0))-SUMIFS($H$1:H1,$B$1:B1,B53))</f>
        <v/>
      </c>
      <c r="G53" s="16">
        <f>IF(B53="","",F53*INDEX(Prestamos!$E:$E,MATCH(B53,Prestamos!$A:$A,0)))</f>
        <v/>
      </c>
      <c r="H53" s="16">
        <f>IF(B53="","",MAX(0,E53-G53))</f>
        <v/>
      </c>
      <c r="I53" s="16">
        <f>IF(B53="","",F53-H53)</f>
        <v/>
      </c>
    </row>
    <row r="54">
      <c r="A54" s="11">
        <f>IF(B54="","","PG"&amp;TEXT(ROW()-1,"0000"))</f>
        <v/>
      </c>
      <c r="B54" s="12" t="n"/>
      <c r="C54" s="11">
        <f>IF(B54="","",INDEX(Prestamos!$B:$B,MATCH(B54,Prestamos!$A:$A,0)))</f>
        <v/>
      </c>
      <c r="D54" s="13" t="n"/>
      <c r="E54" s="14" t="n"/>
      <c r="F54" s="16">
        <f>IF(B54="","",INDEX(Prestamos!$D:$D,MATCH(B54,Prestamos!$A:$A,0))-SUMIFS($H$1:H1,$B$1:B1,B54))</f>
        <v/>
      </c>
      <c r="G54" s="16">
        <f>IF(B54="","",F54*INDEX(Prestamos!$E:$E,MATCH(B54,Prestamos!$A:$A,0)))</f>
        <v/>
      </c>
      <c r="H54" s="16">
        <f>IF(B54="","",MAX(0,E54-G54))</f>
        <v/>
      </c>
      <c r="I54" s="16">
        <f>IF(B54="","",F54-H54)</f>
        <v/>
      </c>
    </row>
    <row r="55">
      <c r="A55" s="11">
        <f>IF(B55="","","PG"&amp;TEXT(ROW()-1,"0000"))</f>
        <v/>
      </c>
      <c r="B55" s="12" t="n"/>
      <c r="C55" s="11">
        <f>IF(B55="","",INDEX(Prestamos!$B:$B,MATCH(B55,Prestamos!$A:$A,0)))</f>
        <v/>
      </c>
      <c r="D55" s="13" t="n"/>
      <c r="E55" s="14" t="n"/>
      <c r="F55" s="16">
        <f>IF(B55="","",INDEX(Prestamos!$D:$D,MATCH(B55,Prestamos!$A:$A,0))-SUMIFS($H$1:H1,$B$1:B1,B55))</f>
        <v/>
      </c>
      <c r="G55" s="16">
        <f>IF(B55="","",F55*INDEX(Prestamos!$E:$E,MATCH(B55,Prestamos!$A:$A,0)))</f>
        <v/>
      </c>
      <c r="H55" s="16">
        <f>IF(B55="","",MAX(0,E55-G55))</f>
        <v/>
      </c>
      <c r="I55" s="16">
        <f>IF(B55="","",F55-H55)</f>
        <v/>
      </c>
    </row>
    <row r="56">
      <c r="A56" s="11">
        <f>IF(B56="","","PG"&amp;TEXT(ROW()-1,"0000"))</f>
        <v/>
      </c>
      <c r="B56" s="12" t="n"/>
      <c r="C56" s="11">
        <f>IF(B56="","",INDEX(Prestamos!$B:$B,MATCH(B56,Prestamos!$A:$A,0)))</f>
        <v/>
      </c>
      <c r="D56" s="13" t="n"/>
      <c r="E56" s="14" t="n"/>
      <c r="F56" s="16">
        <f>IF(B56="","",INDEX(Prestamos!$D:$D,MATCH(B56,Prestamos!$A:$A,0))-SUMIFS($H$1:H1,$B$1:B1,B56))</f>
        <v/>
      </c>
      <c r="G56" s="16">
        <f>IF(B56="","",F56*INDEX(Prestamos!$E:$E,MATCH(B56,Prestamos!$A:$A,0)))</f>
        <v/>
      </c>
      <c r="H56" s="16">
        <f>IF(B56="","",MAX(0,E56-G56))</f>
        <v/>
      </c>
      <c r="I56" s="16">
        <f>IF(B56="","",F56-H56)</f>
        <v/>
      </c>
    </row>
    <row r="57">
      <c r="A57" s="11">
        <f>IF(B57="","","PG"&amp;TEXT(ROW()-1,"0000"))</f>
        <v/>
      </c>
      <c r="B57" s="12" t="n"/>
      <c r="C57" s="11">
        <f>IF(B57="","",INDEX(Prestamos!$B:$B,MATCH(B57,Prestamos!$A:$A,0)))</f>
        <v/>
      </c>
      <c r="D57" s="13" t="n"/>
      <c r="E57" s="14" t="n"/>
      <c r="F57" s="16">
        <f>IF(B57="","",INDEX(Prestamos!$D:$D,MATCH(B57,Prestamos!$A:$A,0))-SUMIFS($H$1:H1,$B$1:B1,B57))</f>
        <v/>
      </c>
      <c r="G57" s="16">
        <f>IF(B57="","",F57*INDEX(Prestamos!$E:$E,MATCH(B57,Prestamos!$A:$A,0)))</f>
        <v/>
      </c>
      <c r="H57" s="16">
        <f>IF(B57="","",MAX(0,E57-G57))</f>
        <v/>
      </c>
      <c r="I57" s="16">
        <f>IF(B57="","",F57-H57)</f>
        <v/>
      </c>
    </row>
    <row r="58">
      <c r="A58" s="11">
        <f>IF(B58="","","PG"&amp;TEXT(ROW()-1,"0000"))</f>
        <v/>
      </c>
      <c r="B58" s="12" t="n"/>
      <c r="C58" s="11">
        <f>IF(B58="","",INDEX(Prestamos!$B:$B,MATCH(B58,Prestamos!$A:$A,0)))</f>
        <v/>
      </c>
      <c r="D58" s="13" t="n"/>
      <c r="E58" s="14" t="n"/>
      <c r="F58" s="16">
        <f>IF(B58="","",INDEX(Prestamos!$D:$D,MATCH(B58,Prestamos!$A:$A,0))-SUMIFS($H$1:H1,$B$1:B1,B58))</f>
        <v/>
      </c>
      <c r="G58" s="16">
        <f>IF(B58="","",F58*INDEX(Prestamos!$E:$E,MATCH(B58,Prestamos!$A:$A,0)))</f>
        <v/>
      </c>
      <c r="H58" s="16">
        <f>IF(B58="","",MAX(0,E58-G58))</f>
        <v/>
      </c>
      <c r="I58" s="16">
        <f>IF(B58="","",F58-H58)</f>
        <v/>
      </c>
    </row>
    <row r="59">
      <c r="A59" s="11">
        <f>IF(B59="","","PG"&amp;TEXT(ROW()-1,"0000"))</f>
        <v/>
      </c>
      <c r="B59" s="12" t="n"/>
      <c r="C59" s="11">
        <f>IF(B59="","",INDEX(Prestamos!$B:$B,MATCH(B59,Prestamos!$A:$A,0)))</f>
        <v/>
      </c>
      <c r="D59" s="13" t="n"/>
      <c r="E59" s="14" t="n"/>
      <c r="F59" s="16">
        <f>IF(B59="","",INDEX(Prestamos!$D:$D,MATCH(B59,Prestamos!$A:$A,0))-SUMIFS($H$1:H1,$B$1:B1,B59))</f>
        <v/>
      </c>
      <c r="G59" s="16">
        <f>IF(B59="","",F59*INDEX(Prestamos!$E:$E,MATCH(B59,Prestamos!$A:$A,0)))</f>
        <v/>
      </c>
      <c r="H59" s="16">
        <f>IF(B59="","",MAX(0,E59-G59))</f>
        <v/>
      </c>
      <c r="I59" s="16">
        <f>IF(B59="","",F59-H59)</f>
        <v/>
      </c>
    </row>
    <row r="60">
      <c r="A60" s="11">
        <f>IF(B60="","","PG"&amp;TEXT(ROW()-1,"0000"))</f>
        <v/>
      </c>
      <c r="B60" s="12" t="n"/>
      <c r="C60" s="11">
        <f>IF(B60="","",INDEX(Prestamos!$B:$B,MATCH(B60,Prestamos!$A:$A,0)))</f>
        <v/>
      </c>
      <c r="D60" s="13" t="n"/>
      <c r="E60" s="14" t="n"/>
      <c r="F60" s="16">
        <f>IF(B60="","",INDEX(Prestamos!$D:$D,MATCH(B60,Prestamos!$A:$A,0))-SUMIFS($H$1:H1,$B$1:B1,B60))</f>
        <v/>
      </c>
      <c r="G60" s="16">
        <f>IF(B60="","",F60*INDEX(Prestamos!$E:$E,MATCH(B60,Prestamos!$A:$A,0)))</f>
        <v/>
      </c>
      <c r="H60" s="16">
        <f>IF(B60="","",MAX(0,E60-G60))</f>
        <v/>
      </c>
      <c r="I60" s="16">
        <f>IF(B60="","",F60-H60)</f>
        <v/>
      </c>
    </row>
    <row r="61">
      <c r="A61" s="11">
        <f>IF(B61="","","PG"&amp;TEXT(ROW()-1,"0000"))</f>
        <v/>
      </c>
      <c r="B61" s="12" t="n"/>
      <c r="C61" s="11">
        <f>IF(B61="","",INDEX(Prestamos!$B:$B,MATCH(B61,Prestamos!$A:$A,0)))</f>
        <v/>
      </c>
      <c r="D61" s="13" t="n"/>
      <c r="E61" s="14" t="n"/>
      <c r="F61" s="16">
        <f>IF(B61="","",INDEX(Prestamos!$D:$D,MATCH(B61,Prestamos!$A:$A,0))-SUMIFS($H$1:H1,$B$1:B1,B61))</f>
        <v/>
      </c>
      <c r="G61" s="16">
        <f>IF(B61="","",F61*INDEX(Prestamos!$E:$E,MATCH(B61,Prestamos!$A:$A,0)))</f>
        <v/>
      </c>
      <c r="H61" s="16">
        <f>IF(B61="","",MAX(0,E61-G61))</f>
        <v/>
      </c>
      <c r="I61" s="16">
        <f>IF(B61="","",F61-H61)</f>
        <v/>
      </c>
    </row>
    <row r="62">
      <c r="A62" s="11">
        <f>IF(B62="","","PG"&amp;TEXT(ROW()-1,"0000"))</f>
        <v/>
      </c>
      <c r="B62" s="12" t="n"/>
      <c r="C62" s="11">
        <f>IF(B62="","",INDEX(Prestamos!$B:$B,MATCH(B62,Prestamos!$A:$A,0)))</f>
        <v/>
      </c>
      <c r="D62" s="13" t="n"/>
      <c r="E62" s="14" t="n"/>
      <c r="F62" s="16">
        <f>IF(B62="","",INDEX(Prestamos!$D:$D,MATCH(B62,Prestamos!$A:$A,0))-SUMIFS($H$1:H1,$B$1:B1,B62))</f>
        <v/>
      </c>
      <c r="G62" s="16">
        <f>IF(B62="","",F62*INDEX(Prestamos!$E:$E,MATCH(B62,Prestamos!$A:$A,0)))</f>
        <v/>
      </c>
      <c r="H62" s="16">
        <f>IF(B62="","",MAX(0,E62-G62))</f>
        <v/>
      </c>
      <c r="I62" s="16">
        <f>IF(B62="","",F62-H62)</f>
        <v/>
      </c>
    </row>
    <row r="63">
      <c r="A63" s="11">
        <f>IF(B63="","","PG"&amp;TEXT(ROW()-1,"0000"))</f>
        <v/>
      </c>
      <c r="B63" s="12" t="n"/>
      <c r="C63" s="11">
        <f>IF(B63="","",INDEX(Prestamos!$B:$B,MATCH(B63,Prestamos!$A:$A,0)))</f>
        <v/>
      </c>
      <c r="D63" s="13" t="n"/>
      <c r="E63" s="14" t="n"/>
      <c r="F63" s="16">
        <f>IF(B63="","",INDEX(Prestamos!$D:$D,MATCH(B63,Prestamos!$A:$A,0))-SUMIFS($H$1:H1,$B$1:B1,B63))</f>
        <v/>
      </c>
      <c r="G63" s="16">
        <f>IF(B63="","",F63*INDEX(Prestamos!$E:$E,MATCH(B63,Prestamos!$A:$A,0)))</f>
        <v/>
      </c>
      <c r="H63" s="16">
        <f>IF(B63="","",MAX(0,E63-G63))</f>
        <v/>
      </c>
      <c r="I63" s="16">
        <f>IF(B63="","",F63-H63)</f>
        <v/>
      </c>
    </row>
    <row r="64">
      <c r="A64" s="11">
        <f>IF(B64="","","PG"&amp;TEXT(ROW()-1,"0000"))</f>
        <v/>
      </c>
      <c r="B64" s="12" t="n"/>
      <c r="C64" s="11">
        <f>IF(B64="","",INDEX(Prestamos!$B:$B,MATCH(B64,Prestamos!$A:$A,0)))</f>
        <v/>
      </c>
      <c r="D64" s="13" t="n"/>
      <c r="E64" s="14" t="n"/>
      <c r="F64" s="16">
        <f>IF(B64="","",INDEX(Prestamos!$D:$D,MATCH(B64,Prestamos!$A:$A,0))-SUMIFS($H$1:H1,$B$1:B1,B64))</f>
        <v/>
      </c>
      <c r="G64" s="16">
        <f>IF(B64="","",F64*INDEX(Prestamos!$E:$E,MATCH(B64,Prestamos!$A:$A,0)))</f>
        <v/>
      </c>
      <c r="H64" s="16">
        <f>IF(B64="","",MAX(0,E64-G64))</f>
        <v/>
      </c>
      <c r="I64" s="16">
        <f>IF(B64="","",F64-H64)</f>
        <v/>
      </c>
    </row>
    <row r="65">
      <c r="A65" s="11">
        <f>IF(B65="","","PG"&amp;TEXT(ROW()-1,"0000"))</f>
        <v/>
      </c>
      <c r="B65" s="12" t="n"/>
      <c r="C65" s="11">
        <f>IF(B65="","",INDEX(Prestamos!$B:$B,MATCH(B65,Prestamos!$A:$A,0)))</f>
        <v/>
      </c>
      <c r="D65" s="13" t="n"/>
      <c r="E65" s="14" t="n"/>
      <c r="F65" s="16">
        <f>IF(B65="","",INDEX(Prestamos!$D:$D,MATCH(B65,Prestamos!$A:$A,0))-SUMIFS($H$1:H1,$B$1:B1,B65))</f>
        <v/>
      </c>
      <c r="G65" s="16">
        <f>IF(B65="","",F65*INDEX(Prestamos!$E:$E,MATCH(B65,Prestamos!$A:$A,0)))</f>
        <v/>
      </c>
      <c r="H65" s="16">
        <f>IF(B65="","",MAX(0,E65-G65))</f>
        <v/>
      </c>
      <c r="I65" s="16">
        <f>IF(B65="","",F65-H65)</f>
        <v/>
      </c>
    </row>
    <row r="66">
      <c r="A66" s="11">
        <f>IF(B66="","","PG"&amp;TEXT(ROW()-1,"0000"))</f>
        <v/>
      </c>
      <c r="B66" s="12" t="n"/>
      <c r="C66" s="11">
        <f>IF(B66="","",INDEX(Prestamos!$B:$B,MATCH(B66,Prestamos!$A:$A,0)))</f>
        <v/>
      </c>
      <c r="D66" s="13" t="n"/>
      <c r="E66" s="14" t="n"/>
      <c r="F66" s="16">
        <f>IF(B66="","",INDEX(Prestamos!$D:$D,MATCH(B66,Prestamos!$A:$A,0))-SUMIFS($H$1:H1,$B$1:B1,B66))</f>
        <v/>
      </c>
      <c r="G66" s="16">
        <f>IF(B66="","",F66*INDEX(Prestamos!$E:$E,MATCH(B66,Prestamos!$A:$A,0)))</f>
        <v/>
      </c>
      <c r="H66" s="16">
        <f>IF(B66="","",MAX(0,E66-G66))</f>
        <v/>
      </c>
      <c r="I66" s="16">
        <f>IF(B66="","",F66-H66)</f>
        <v/>
      </c>
    </row>
    <row r="67">
      <c r="A67" s="11">
        <f>IF(B67="","","PG"&amp;TEXT(ROW()-1,"0000"))</f>
        <v/>
      </c>
      <c r="B67" s="12" t="n"/>
      <c r="C67" s="11">
        <f>IF(B67="","",INDEX(Prestamos!$B:$B,MATCH(B67,Prestamos!$A:$A,0)))</f>
        <v/>
      </c>
      <c r="D67" s="13" t="n"/>
      <c r="E67" s="14" t="n"/>
      <c r="F67" s="16">
        <f>IF(B67="","",INDEX(Prestamos!$D:$D,MATCH(B67,Prestamos!$A:$A,0))-SUMIFS($H$1:H1,$B$1:B1,B67))</f>
        <v/>
      </c>
      <c r="G67" s="16">
        <f>IF(B67="","",F67*INDEX(Prestamos!$E:$E,MATCH(B67,Prestamos!$A:$A,0)))</f>
        <v/>
      </c>
      <c r="H67" s="16">
        <f>IF(B67="","",MAX(0,E67-G67))</f>
        <v/>
      </c>
      <c r="I67" s="16">
        <f>IF(B67="","",F67-H67)</f>
        <v/>
      </c>
    </row>
    <row r="68">
      <c r="A68" s="11">
        <f>IF(B68="","","PG"&amp;TEXT(ROW()-1,"0000"))</f>
        <v/>
      </c>
      <c r="B68" s="12" t="n"/>
      <c r="C68" s="11">
        <f>IF(B68="","",INDEX(Prestamos!$B:$B,MATCH(B68,Prestamos!$A:$A,0)))</f>
        <v/>
      </c>
      <c r="D68" s="13" t="n"/>
      <c r="E68" s="14" t="n"/>
      <c r="F68" s="16">
        <f>IF(B68="","",INDEX(Prestamos!$D:$D,MATCH(B68,Prestamos!$A:$A,0))-SUMIFS($H$1:H1,$B$1:B1,B68))</f>
        <v/>
      </c>
      <c r="G68" s="16">
        <f>IF(B68="","",F68*INDEX(Prestamos!$E:$E,MATCH(B68,Prestamos!$A:$A,0)))</f>
        <v/>
      </c>
      <c r="H68" s="16">
        <f>IF(B68="","",MAX(0,E68-G68))</f>
        <v/>
      </c>
      <c r="I68" s="16">
        <f>IF(B68="","",F68-H68)</f>
        <v/>
      </c>
    </row>
    <row r="69">
      <c r="A69" s="11">
        <f>IF(B69="","","PG"&amp;TEXT(ROW()-1,"0000"))</f>
        <v/>
      </c>
      <c r="B69" s="12" t="n"/>
      <c r="C69" s="11">
        <f>IF(B69="","",INDEX(Prestamos!$B:$B,MATCH(B69,Prestamos!$A:$A,0)))</f>
        <v/>
      </c>
      <c r="D69" s="13" t="n"/>
      <c r="E69" s="14" t="n"/>
      <c r="F69" s="16">
        <f>IF(B69="","",INDEX(Prestamos!$D:$D,MATCH(B69,Prestamos!$A:$A,0))-SUMIFS($H$1:H1,$B$1:B1,B69))</f>
        <v/>
      </c>
      <c r="G69" s="16">
        <f>IF(B69="","",F69*INDEX(Prestamos!$E:$E,MATCH(B69,Prestamos!$A:$A,0)))</f>
        <v/>
      </c>
      <c r="H69" s="16">
        <f>IF(B69="","",MAX(0,E69-G69))</f>
        <v/>
      </c>
      <c r="I69" s="16">
        <f>IF(B69="","",F69-H69)</f>
        <v/>
      </c>
    </row>
    <row r="70">
      <c r="A70" s="11">
        <f>IF(B70="","","PG"&amp;TEXT(ROW()-1,"0000"))</f>
        <v/>
      </c>
      <c r="B70" s="12" t="n"/>
      <c r="C70" s="11">
        <f>IF(B70="","",INDEX(Prestamos!$B:$B,MATCH(B70,Prestamos!$A:$A,0)))</f>
        <v/>
      </c>
      <c r="D70" s="13" t="n"/>
      <c r="E70" s="14" t="n"/>
      <c r="F70" s="16">
        <f>IF(B70="","",INDEX(Prestamos!$D:$D,MATCH(B70,Prestamos!$A:$A,0))-SUMIFS($H$1:H1,$B$1:B1,B70))</f>
        <v/>
      </c>
      <c r="G70" s="16">
        <f>IF(B70="","",F70*INDEX(Prestamos!$E:$E,MATCH(B70,Prestamos!$A:$A,0)))</f>
        <v/>
      </c>
      <c r="H70" s="16">
        <f>IF(B70="","",MAX(0,E70-G70))</f>
        <v/>
      </c>
      <c r="I70" s="16">
        <f>IF(B70="","",F70-H70)</f>
        <v/>
      </c>
    </row>
    <row r="71">
      <c r="A71" s="11">
        <f>IF(B71="","","PG"&amp;TEXT(ROW()-1,"0000"))</f>
        <v/>
      </c>
      <c r="B71" s="12" t="n"/>
      <c r="C71" s="11">
        <f>IF(B71="","",INDEX(Prestamos!$B:$B,MATCH(B71,Prestamos!$A:$A,0)))</f>
        <v/>
      </c>
      <c r="D71" s="13" t="n"/>
      <c r="E71" s="14" t="n"/>
      <c r="F71" s="16">
        <f>IF(B71="","",INDEX(Prestamos!$D:$D,MATCH(B71,Prestamos!$A:$A,0))-SUMIFS($H$1:H1,$B$1:B1,B71))</f>
        <v/>
      </c>
      <c r="G71" s="16">
        <f>IF(B71="","",F71*INDEX(Prestamos!$E:$E,MATCH(B71,Prestamos!$A:$A,0)))</f>
        <v/>
      </c>
      <c r="H71" s="16">
        <f>IF(B71="","",MAX(0,E71-G71))</f>
        <v/>
      </c>
      <c r="I71" s="16">
        <f>IF(B71="","",F71-H71)</f>
        <v/>
      </c>
    </row>
    <row r="72">
      <c r="A72" s="11">
        <f>IF(B72="","","PG"&amp;TEXT(ROW()-1,"0000"))</f>
        <v/>
      </c>
      <c r="B72" s="12" t="n"/>
      <c r="C72" s="11">
        <f>IF(B72="","",INDEX(Prestamos!$B:$B,MATCH(B72,Prestamos!$A:$A,0)))</f>
        <v/>
      </c>
      <c r="D72" s="13" t="n"/>
      <c r="E72" s="14" t="n"/>
      <c r="F72" s="16">
        <f>IF(B72="","",INDEX(Prestamos!$D:$D,MATCH(B72,Prestamos!$A:$A,0))-SUMIFS($H$1:H1,$B$1:B1,B72))</f>
        <v/>
      </c>
      <c r="G72" s="16">
        <f>IF(B72="","",F72*INDEX(Prestamos!$E:$E,MATCH(B72,Prestamos!$A:$A,0)))</f>
        <v/>
      </c>
      <c r="H72" s="16">
        <f>IF(B72="","",MAX(0,E72-G72))</f>
        <v/>
      </c>
      <c r="I72" s="16">
        <f>IF(B72="","",F72-H72)</f>
        <v/>
      </c>
    </row>
    <row r="73">
      <c r="A73" s="11">
        <f>IF(B73="","","PG"&amp;TEXT(ROW()-1,"0000"))</f>
        <v/>
      </c>
      <c r="B73" s="12" t="n"/>
      <c r="C73" s="11">
        <f>IF(B73="","",INDEX(Prestamos!$B:$B,MATCH(B73,Prestamos!$A:$A,0)))</f>
        <v/>
      </c>
      <c r="D73" s="13" t="n"/>
      <c r="E73" s="14" t="n"/>
      <c r="F73" s="16">
        <f>IF(B73="","",INDEX(Prestamos!$D:$D,MATCH(B73,Prestamos!$A:$A,0))-SUMIFS($H$1:H1,$B$1:B1,B73))</f>
        <v/>
      </c>
      <c r="G73" s="16">
        <f>IF(B73="","",F73*INDEX(Prestamos!$E:$E,MATCH(B73,Prestamos!$A:$A,0)))</f>
        <v/>
      </c>
      <c r="H73" s="16">
        <f>IF(B73="","",MAX(0,E73-G73))</f>
        <v/>
      </c>
      <c r="I73" s="16">
        <f>IF(B73="","",F73-H73)</f>
        <v/>
      </c>
    </row>
    <row r="74">
      <c r="A74" s="11">
        <f>IF(B74="","","PG"&amp;TEXT(ROW()-1,"0000"))</f>
        <v/>
      </c>
      <c r="B74" s="12" t="n"/>
      <c r="C74" s="11">
        <f>IF(B74="","",INDEX(Prestamos!$B:$B,MATCH(B74,Prestamos!$A:$A,0)))</f>
        <v/>
      </c>
      <c r="D74" s="13" t="n"/>
      <c r="E74" s="14" t="n"/>
      <c r="F74" s="16">
        <f>IF(B74="","",INDEX(Prestamos!$D:$D,MATCH(B74,Prestamos!$A:$A,0))-SUMIFS($H$1:H1,$B$1:B1,B74))</f>
        <v/>
      </c>
      <c r="G74" s="16">
        <f>IF(B74="","",F74*INDEX(Prestamos!$E:$E,MATCH(B74,Prestamos!$A:$A,0)))</f>
        <v/>
      </c>
      <c r="H74" s="16">
        <f>IF(B74="","",MAX(0,E74-G74))</f>
        <v/>
      </c>
      <c r="I74" s="16">
        <f>IF(B74="","",F74-H74)</f>
        <v/>
      </c>
    </row>
    <row r="75">
      <c r="A75" s="11">
        <f>IF(B75="","","PG"&amp;TEXT(ROW()-1,"0000"))</f>
        <v/>
      </c>
      <c r="B75" s="12" t="n"/>
      <c r="C75" s="11">
        <f>IF(B75="","",INDEX(Prestamos!$B:$B,MATCH(B75,Prestamos!$A:$A,0)))</f>
        <v/>
      </c>
      <c r="D75" s="13" t="n"/>
      <c r="E75" s="14" t="n"/>
      <c r="F75" s="16">
        <f>IF(B75="","",INDEX(Prestamos!$D:$D,MATCH(B75,Prestamos!$A:$A,0))-SUMIFS($H$1:H1,$B$1:B1,B75))</f>
        <v/>
      </c>
      <c r="G75" s="16">
        <f>IF(B75="","",F75*INDEX(Prestamos!$E:$E,MATCH(B75,Prestamos!$A:$A,0)))</f>
        <v/>
      </c>
      <c r="H75" s="16">
        <f>IF(B75="","",MAX(0,E75-G75))</f>
        <v/>
      </c>
      <c r="I75" s="16">
        <f>IF(B75="","",F75-H75)</f>
        <v/>
      </c>
    </row>
    <row r="76">
      <c r="A76" s="11">
        <f>IF(B76="","","PG"&amp;TEXT(ROW()-1,"0000"))</f>
        <v/>
      </c>
      <c r="B76" s="12" t="n"/>
      <c r="C76" s="11">
        <f>IF(B76="","",INDEX(Prestamos!$B:$B,MATCH(B76,Prestamos!$A:$A,0)))</f>
        <v/>
      </c>
      <c r="D76" s="13" t="n"/>
      <c r="E76" s="14" t="n"/>
      <c r="F76" s="16">
        <f>IF(B76="","",INDEX(Prestamos!$D:$D,MATCH(B76,Prestamos!$A:$A,0))-SUMIFS($H$1:H1,$B$1:B1,B76))</f>
        <v/>
      </c>
      <c r="G76" s="16">
        <f>IF(B76="","",F76*INDEX(Prestamos!$E:$E,MATCH(B76,Prestamos!$A:$A,0)))</f>
        <v/>
      </c>
      <c r="H76" s="16">
        <f>IF(B76="","",MAX(0,E76-G76))</f>
        <v/>
      </c>
      <c r="I76" s="16">
        <f>IF(B76="","",F76-H76)</f>
        <v/>
      </c>
    </row>
    <row r="77">
      <c r="A77" s="11">
        <f>IF(B77="","","PG"&amp;TEXT(ROW()-1,"0000"))</f>
        <v/>
      </c>
      <c r="B77" s="12" t="n"/>
      <c r="C77" s="11">
        <f>IF(B77="","",INDEX(Prestamos!$B:$B,MATCH(B77,Prestamos!$A:$A,0)))</f>
        <v/>
      </c>
      <c r="D77" s="13" t="n"/>
      <c r="E77" s="14" t="n"/>
      <c r="F77" s="16">
        <f>IF(B77="","",INDEX(Prestamos!$D:$D,MATCH(B77,Prestamos!$A:$A,0))-SUMIFS($H$1:H1,$B$1:B1,B77))</f>
        <v/>
      </c>
      <c r="G77" s="16">
        <f>IF(B77="","",F77*INDEX(Prestamos!$E:$E,MATCH(B77,Prestamos!$A:$A,0)))</f>
        <v/>
      </c>
      <c r="H77" s="16">
        <f>IF(B77="","",MAX(0,E77-G77))</f>
        <v/>
      </c>
      <c r="I77" s="16">
        <f>IF(B77="","",F77-H77)</f>
        <v/>
      </c>
    </row>
    <row r="78">
      <c r="A78" s="11">
        <f>IF(B78="","","PG"&amp;TEXT(ROW()-1,"0000"))</f>
        <v/>
      </c>
      <c r="B78" s="12" t="n"/>
      <c r="C78" s="11">
        <f>IF(B78="","",INDEX(Prestamos!$B:$B,MATCH(B78,Prestamos!$A:$A,0)))</f>
        <v/>
      </c>
      <c r="D78" s="13" t="n"/>
      <c r="E78" s="14" t="n"/>
      <c r="F78" s="16">
        <f>IF(B78="","",INDEX(Prestamos!$D:$D,MATCH(B78,Prestamos!$A:$A,0))-SUMIFS($H$1:H1,$B$1:B1,B78))</f>
        <v/>
      </c>
      <c r="G78" s="16">
        <f>IF(B78="","",F78*INDEX(Prestamos!$E:$E,MATCH(B78,Prestamos!$A:$A,0)))</f>
        <v/>
      </c>
      <c r="H78" s="16">
        <f>IF(B78="","",MAX(0,E78-G78))</f>
        <v/>
      </c>
      <c r="I78" s="16">
        <f>IF(B78="","",F78-H78)</f>
        <v/>
      </c>
    </row>
    <row r="79">
      <c r="A79" s="11">
        <f>IF(B79="","","PG"&amp;TEXT(ROW()-1,"0000"))</f>
        <v/>
      </c>
      <c r="B79" s="12" t="n"/>
      <c r="C79" s="11">
        <f>IF(B79="","",INDEX(Prestamos!$B:$B,MATCH(B79,Prestamos!$A:$A,0)))</f>
        <v/>
      </c>
      <c r="D79" s="13" t="n"/>
      <c r="E79" s="14" t="n"/>
      <c r="F79" s="16">
        <f>IF(B79="","",INDEX(Prestamos!$D:$D,MATCH(B79,Prestamos!$A:$A,0))-SUMIFS($H$1:H1,$B$1:B1,B79))</f>
        <v/>
      </c>
      <c r="G79" s="16">
        <f>IF(B79="","",F79*INDEX(Prestamos!$E:$E,MATCH(B79,Prestamos!$A:$A,0)))</f>
        <v/>
      </c>
      <c r="H79" s="16">
        <f>IF(B79="","",MAX(0,E79-G79))</f>
        <v/>
      </c>
      <c r="I79" s="16">
        <f>IF(B79="","",F79-H79)</f>
        <v/>
      </c>
    </row>
    <row r="80">
      <c r="A80" s="11">
        <f>IF(B80="","","PG"&amp;TEXT(ROW()-1,"0000"))</f>
        <v/>
      </c>
      <c r="B80" s="12" t="n"/>
      <c r="C80" s="11">
        <f>IF(B80="","",INDEX(Prestamos!$B:$B,MATCH(B80,Prestamos!$A:$A,0)))</f>
        <v/>
      </c>
      <c r="D80" s="13" t="n"/>
      <c r="E80" s="14" t="n"/>
      <c r="F80" s="16">
        <f>IF(B80="","",INDEX(Prestamos!$D:$D,MATCH(B80,Prestamos!$A:$A,0))-SUMIFS($H$1:H1,$B$1:B1,B80))</f>
        <v/>
      </c>
      <c r="G80" s="16">
        <f>IF(B80="","",F80*INDEX(Prestamos!$E:$E,MATCH(B80,Prestamos!$A:$A,0)))</f>
        <v/>
      </c>
      <c r="H80" s="16">
        <f>IF(B80="","",MAX(0,E80-G80))</f>
        <v/>
      </c>
      <c r="I80" s="16">
        <f>IF(B80="","",F80-H80)</f>
        <v/>
      </c>
    </row>
    <row r="81">
      <c r="A81" s="11">
        <f>IF(B81="","","PG"&amp;TEXT(ROW()-1,"0000"))</f>
        <v/>
      </c>
      <c r="B81" s="12" t="n"/>
      <c r="C81" s="11">
        <f>IF(B81="","",INDEX(Prestamos!$B:$B,MATCH(B81,Prestamos!$A:$A,0)))</f>
        <v/>
      </c>
      <c r="D81" s="13" t="n"/>
      <c r="E81" s="14" t="n"/>
      <c r="F81" s="16">
        <f>IF(B81="","",INDEX(Prestamos!$D:$D,MATCH(B81,Prestamos!$A:$A,0))-SUMIFS($H$1:H1,$B$1:B1,B81))</f>
        <v/>
      </c>
      <c r="G81" s="16">
        <f>IF(B81="","",F81*INDEX(Prestamos!$E:$E,MATCH(B81,Prestamos!$A:$A,0)))</f>
        <v/>
      </c>
      <c r="H81" s="16">
        <f>IF(B81="","",MAX(0,E81-G81))</f>
        <v/>
      </c>
      <c r="I81" s="16">
        <f>IF(B81="","",F81-H81)</f>
        <v/>
      </c>
    </row>
    <row r="82">
      <c r="A82" s="11">
        <f>IF(B82="","","PG"&amp;TEXT(ROW()-1,"0000"))</f>
        <v/>
      </c>
      <c r="B82" s="12" t="n"/>
      <c r="C82" s="11">
        <f>IF(B82="","",INDEX(Prestamos!$B:$B,MATCH(B82,Prestamos!$A:$A,0)))</f>
        <v/>
      </c>
      <c r="D82" s="13" t="n"/>
      <c r="E82" s="14" t="n"/>
      <c r="F82" s="16">
        <f>IF(B82="","",INDEX(Prestamos!$D:$D,MATCH(B82,Prestamos!$A:$A,0))-SUMIFS($H$1:H1,$B$1:B1,B82))</f>
        <v/>
      </c>
      <c r="G82" s="16">
        <f>IF(B82="","",F82*INDEX(Prestamos!$E:$E,MATCH(B82,Prestamos!$A:$A,0)))</f>
        <v/>
      </c>
      <c r="H82" s="16">
        <f>IF(B82="","",MAX(0,E82-G82))</f>
        <v/>
      </c>
      <c r="I82" s="16">
        <f>IF(B82="","",F82-H82)</f>
        <v/>
      </c>
    </row>
    <row r="83">
      <c r="A83" s="11">
        <f>IF(B83="","","PG"&amp;TEXT(ROW()-1,"0000"))</f>
        <v/>
      </c>
      <c r="B83" s="12" t="n"/>
      <c r="C83" s="11">
        <f>IF(B83="","",INDEX(Prestamos!$B:$B,MATCH(B83,Prestamos!$A:$A,0)))</f>
        <v/>
      </c>
      <c r="D83" s="13" t="n"/>
      <c r="E83" s="14" t="n"/>
      <c r="F83" s="16">
        <f>IF(B83="","",INDEX(Prestamos!$D:$D,MATCH(B83,Prestamos!$A:$A,0))-SUMIFS($H$1:H1,$B$1:B1,B83))</f>
        <v/>
      </c>
      <c r="G83" s="16">
        <f>IF(B83="","",F83*INDEX(Prestamos!$E:$E,MATCH(B83,Prestamos!$A:$A,0)))</f>
        <v/>
      </c>
      <c r="H83" s="16">
        <f>IF(B83="","",MAX(0,E83-G83))</f>
        <v/>
      </c>
      <c r="I83" s="16">
        <f>IF(B83="","",F83-H83)</f>
        <v/>
      </c>
    </row>
    <row r="84">
      <c r="A84" s="11">
        <f>IF(B84="","","PG"&amp;TEXT(ROW()-1,"0000"))</f>
        <v/>
      </c>
      <c r="B84" s="12" t="n"/>
      <c r="C84" s="11">
        <f>IF(B84="","",INDEX(Prestamos!$B:$B,MATCH(B84,Prestamos!$A:$A,0)))</f>
        <v/>
      </c>
      <c r="D84" s="13" t="n"/>
      <c r="E84" s="14" t="n"/>
      <c r="F84" s="16">
        <f>IF(B84="","",INDEX(Prestamos!$D:$D,MATCH(B84,Prestamos!$A:$A,0))-SUMIFS($H$1:H1,$B$1:B1,B84))</f>
        <v/>
      </c>
      <c r="G84" s="16">
        <f>IF(B84="","",F84*INDEX(Prestamos!$E:$E,MATCH(B84,Prestamos!$A:$A,0)))</f>
        <v/>
      </c>
      <c r="H84" s="16">
        <f>IF(B84="","",MAX(0,E84-G84))</f>
        <v/>
      </c>
      <c r="I84" s="16">
        <f>IF(B84="","",F84-H84)</f>
        <v/>
      </c>
    </row>
    <row r="85">
      <c r="A85" s="11">
        <f>IF(B85="","","PG"&amp;TEXT(ROW()-1,"0000"))</f>
        <v/>
      </c>
      <c r="B85" s="12" t="n"/>
      <c r="C85" s="11">
        <f>IF(B85="","",INDEX(Prestamos!$B:$B,MATCH(B85,Prestamos!$A:$A,0)))</f>
        <v/>
      </c>
      <c r="D85" s="13" t="n"/>
      <c r="E85" s="14" t="n"/>
      <c r="F85" s="16">
        <f>IF(B85="","",INDEX(Prestamos!$D:$D,MATCH(B85,Prestamos!$A:$A,0))-SUMIFS($H$1:H1,$B$1:B1,B85))</f>
        <v/>
      </c>
      <c r="G85" s="16">
        <f>IF(B85="","",F85*INDEX(Prestamos!$E:$E,MATCH(B85,Prestamos!$A:$A,0)))</f>
        <v/>
      </c>
      <c r="H85" s="16">
        <f>IF(B85="","",MAX(0,E85-G85))</f>
        <v/>
      </c>
      <c r="I85" s="16">
        <f>IF(B85="","",F85-H85)</f>
        <v/>
      </c>
    </row>
    <row r="86">
      <c r="A86" s="11">
        <f>IF(B86="","","PG"&amp;TEXT(ROW()-1,"0000"))</f>
        <v/>
      </c>
      <c r="B86" s="12" t="n"/>
      <c r="C86" s="11">
        <f>IF(B86="","",INDEX(Prestamos!$B:$B,MATCH(B86,Prestamos!$A:$A,0)))</f>
        <v/>
      </c>
      <c r="D86" s="13" t="n"/>
      <c r="E86" s="14" t="n"/>
      <c r="F86" s="16">
        <f>IF(B86="","",INDEX(Prestamos!$D:$D,MATCH(B86,Prestamos!$A:$A,0))-SUMIFS($H$1:H1,$B$1:B1,B86))</f>
        <v/>
      </c>
      <c r="G86" s="16">
        <f>IF(B86="","",F86*INDEX(Prestamos!$E:$E,MATCH(B86,Prestamos!$A:$A,0)))</f>
        <v/>
      </c>
      <c r="H86" s="16">
        <f>IF(B86="","",MAX(0,E86-G86))</f>
        <v/>
      </c>
      <c r="I86" s="16">
        <f>IF(B86="","",F86-H86)</f>
        <v/>
      </c>
    </row>
    <row r="87">
      <c r="A87" s="11">
        <f>IF(B87="","","PG"&amp;TEXT(ROW()-1,"0000"))</f>
        <v/>
      </c>
      <c r="B87" s="12" t="n"/>
      <c r="C87" s="11">
        <f>IF(B87="","",INDEX(Prestamos!$B:$B,MATCH(B87,Prestamos!$A:$A,0)))</f>
        <v/>
      </c>
      <c r="D87" s="13" t="n"/>
      <c r="E87" s="14" t="n"/>
      <c r="F87" s="16">
        <f>IF(B87="","",INDEX(Prestamos!$D:$D,MATCH(B87,Prestamos!$A:$A,0))-SUMIFS($H$1:H1,$B$1:B1,B87))</f>
        <v/>
      </c>
      <c r="G87" s="16">
        <f>IF(B87="","",F87*INDEX(Prestamos!$E:$E,MATCH(B87,Prestamos!$A:$A,0)))</f>
        <v/>
      </c>
      <c r="H87" s="16">
        <f>IF(B87="","",MAX(0,E87-G87))</f>
        <v/>
      </c>
      <c r="I87" s="16">
        <f>IF(B87="","",F87-H87)</f>
        <v/>
      </c>
    </row>
    <row r="88">
      <c r="A88" s="11">
        <f>IF(B88="","","PG"&amp;TEXT(ROW()-1,"0000"))</f>
        <v/>
      </c>
      <c r="B88" s="12" t="n"/>
      <c r="C88" s="11">
        <f>IF(B88="","",INDEX(Prestamos!$B:$B,MATCH(B88,Prestamos!$A:$A,0)))</f>
        <v/>
      </c>
      <c r="D88" s="13" t="n"/>
      <c r="E88" s="14" t="n"/>
      <c r="F88" s="16">
        <f>IF(B88="","",INDEX(Prestamos!$D:$D,MATCH(B88,Prestamos!$A:$A,0))-SUMIFS($H$1:H1,$B$1:B1,B88))</f>
        <v/>
      </c>
      <c r="G88" s="16">
        <f>IF(B88="","",F88*INDEX(Prestamos!$E:$E,MATCH(B88,Prestamos!$A:$A,0)))</f>
        <v/>
      </c>
      <c r="H88" s="16">
        <f>IF(B88="","",MAX(0,E88-G88))</f>
        <v/>
      </c>
      <c r="I88" s="16">
        <f>IF(B88="","",F88-H88)</f>
        <v/>
      </c>
    </row>
    <row r="89">
      <c r="A89" s="11">
        <f>IF(B89="","","PG"&amp;TEXT(ROW()-1,"0000"))</f>
        <v/>
      </c>
      <c r="B89" s="12" t="n"/>
      <c r="C89" s="11">
        <f>IF(B89="","",INDEX(Prestamos!$B:$B,MATCH(B89,Prestamos!$A:$A,0)))</f>
        <v/>
      </c>
      <c r="D89" s="13" t="n"/>
      <c r="E89" s="14" t="n"/>
      <c r="F89" s="16">
        <f>IF(B89="","",INDEX(Prestamos!$D:$D,MATCH(B89,Prestamos!$A:$A,0))-SUMIFS($H$1:H1,$B$1:B1,B89))</f>
        <v/>
      </c>
      <c r="G89" s="16">
        <f>IF(B89="","",F89*INDEX(Prestamos!$E:$E,MATCH(B89,Prestamos!$A:$A,0)))</f>
        <v/>
      </c>
      <c r="H89" s="16">
        <f>IF(B89="","",MAX(0,E89-G89))</f>
        <v/>
      </c>
      <c r="I89" s="16">
        <f>IF(B89="","",F89-H89)</f>
        <v/>
      </c>
    </row>
    <row r="90">
      <c r="A90" s="11">
        <f>IF(B90="","","PG"&amp;TEXT(ROW()-1,"0000"))</f>
        <v/>
      </c>
      <c r="B90" s="12" t="n"/>
      <c r="C90" s="11">
        <f>IF(B90="","",INDEX(Prestamos!$B:$B,MATCH(B90,Prestamos!$A:$A,0)))</f>
        <v/>
      </c>
      <c r="D90" s="13" t="n"/>
      <c r="E90" s="14" t="n"/>
      <c r="F90" s="16">
        <f>IF(B90="","",INDEX(Prestamos!$D:$D,MATCH(B90,Prestamos!$A:$A,0))-SUMIFS($H$1:H1,$B$1:B1,B90))</f>
        <v/>
      </c>
      <c r="G90" s="16">
        <f>IF(B90="","",F90*INDEX(Prestamos!$E:$E,MATCH(B90,Prestamos!$A:$A,0)))</f>
        <v/>
      </c>
      <c r="H90" s="16">
        <f>IF(B90="","",MAX(0,E90-G90))</f>
        <v/>
      </c>
      <c r="I90" s="16">
        <f>IF(B90="","",F90-H90)</f>
        <v/>
      </c>
    </row>
    <row r="91">
      <c r="A91" s="11">
        <f>IF(B91="","","PG"&amp;TEXT(ROW()-1,"0000"))</f>
        <v/>
      </c>
      <c r="B91" s="12" t="n"/>
      <c r="C91" s="11">
        <f>IF(B91="","",INDEX(Prestamos!$B:$B,MATCH(B91,Prestamos!$A:$A,0)))</f>
        <v/>
      </c>
      <c r="D91" s="13" t="n"/>
      <c r="E91" s="14" t="n"/>
      <c r="F91" s="16">
        <f>IF(B91="","",INDEX(Prestamos!$D:$D,MATCH(B91,Prestamos!$A:$A,0))-SUMIFS($H$1:H1,$B$1:B1,B91))</f>
        <v/>
      </c>
      <c r="G91" s="16">
        <f>IF(B91="","",F91*INDEX(Prestamos!$E:$E,MATCH(B91,Prestamos!$A:$A,0)))</f>
        <v/>
      </c>
      <c r="H91" s="16">
        <f>IF(B91="","",MAX(0,E91-G91))</f>
        <v/>
      </c>
      <c r="I91" s="16">
        <f>IF(B91="","",F91-H91)</f>
        <v/>
      </c>
    </row>
    <row r="92">
      <c r="A92" s="11">
        <f>IF(B92="","","PG"&amp;TEXT(ROW()-1,"0000"))</f>
        <v/>
      </c>
      <c r="B92" s="12" t="n"/>
      <c r="C92" s="11">
        <f>IF(B92="","",INDEX(Prestamos!$B:$B,MATCH(B92,Prestamos!$A:$A,0)))</f>
        <v/>
      </c>
      <c r="D92" s="13" t="n"/>
      <c r="E92" s="14" t="n"/>
      <c r="F92" s="16">
        <f>IF(B92="","",INDEX(Prestamos!$D:$D,MATCH(B92,Prestamos!$A:$A,0))-SUMIFS($H$1:H1,$B$1:B1,B92))</f>
        <v/>
      </c>
      <c r="G92" s="16">
        <f>IF(B92="","",F92*INDEX(Prestamos!$E:$E,MATCH(B92,Prestamos!$A:$A,0)))</f>
        <v/>
      </c>
      <c r="H92" s="16">
        <f>IF(B92="","",MAX(0,E92-G92))</f>
        <v/>
      </c>
      <c r="I92" s="16">
        <f>IF(B92="","",F92-H92)</f>
        <v/>
      </c>
    </row>
    <row r="93">
      <c r="A93" s="11">
        <f>IF(B93="","","PG"&amp;TEXT(ROW()-1,"0000"))</f>
        <v/>
      </c>
      <c r="B93" s="12" t="n"/>
      <c r="C93" s="11">
        <f>IF(B93="","",INDEX(Prestamos!$B:$B,MATCH(B93,Prestamos!$A:$A,0)))</f>
        <v/>
      </c>
      <c r="D93" s="13" t="n"/>
      <c r="E93" s="14" t="n"/>
      <c r="F93" s="16">
        <f>IF(B93="","",INDEX(Prestamos!$D:$D,MATCH(B93,Prestamos!$A:$A,0))-SUMIFS($H$1:H1,$B$1:B1,B93))</f>
        <v/>
      </c>
      <c r="G93" s="16">
        <f>IF(B93="","",F93*INDEX(Prestamos!$E:$E,MATCH(B93,Prestamos!$A:$A,0)))</f>
        <v/>
      </c>
      <c r="H93" s="16">
        <f>IF(B93="","",MAX(0,E93-G93))</f>
        <v/>
      </c>
      <c r="I93" s="16">
        <f>IF(B93="","",F93-H93)</f>
        <v/>
      </c>
    </row>
    <row r="94">
      <c r="A94" s="11">
        <f>IF(B94="","","PG"&amp;TEXT(ROW()-1,"0000"))</f>
        <v/>
      </c>
      <c r="B94" s="12" t="n"/>
      <c r="C94" s="11">
        <f>IF(B94="","",INDEX(Prestamos!$B:$B,MATCH(B94,Prestamos!$A:$A,0)))</f>
        <v/>
      </c>
      <c r="D94" s="13" t="n"/>
      <c r="E94" s="14" t="n"/>
      <c r="F94" s="16">
        <f>IF(B94="","",INDEX(Prestamos!$D:$D,MATCH(B94,Prestamos!$A:$A,0))-SUMIFS($H$1:H1,$B$1:B1,B94))</f>
        <v/>
      </c>
      <c r="G94" s="16">
        <f>IF(B94="","",F94*INDEX(Prestamos!$E:$E,MATCH(B94,Prestamos!$A:$A,0)))</f>
        <v/>
      </c>
      <c r="H94" s="16">
        <f>IF(B94="","",MAX(0,E94-G94))</f>
        <v/>
      </c>
      <c r="I94" s="16">
        <f>IF(B94="","",F94-H94)</f>
        <v/>
      </c>
    </row>
    <row r="95">
      <c r="A95" s="11">
        <f>IF(B95="","","PG"&amp;TEXT(ROW()-1,"0000"))</f>
        <v/>
      </c>
      <c r="B95" s="12" t="n"/>
      <c r="C95" s="11">
        <f>IF(B95="","",INDEX(Prestamos!$B:$B,MATCH(B95,Prestamos!$A:$A,0)))</f>
        <v/>
      </c>
      <c r="D95" s="13" t="n"/>
      <c r="E95" s="14" t="n"/>
      <c r="F95" s="16">
        <f>IF(B95="","",INDEX(Prestamos!$D:$D,MATCH(B95,Prestamos!$A:$A,0))-SUMIFS($H$1:H1,$B$1:B1,B95))</f>
        <v/>
      </c>
      <c r="G95" s="16">
        <f>IF(B95="","",F95*INDEX(Prestamos!$E:$E,MATCH(B95,Prestamos!$A:$A,0)))</f>
        <v/>
      </c>
      <c r="H95" s="16">
        <f>IF(B95="","",MAX(0,E95-G95))</f>
        <v/>
      </c>
      <c r="I95" s="16">
        <f>IF(B95="","",F95-H95)</f>
        <v/>
      </c>
    </row>
    <row r="96">
      <c r="A96" s="11">
        <f>IF(B96="","","PG"&amp;TEXT(ROW()-1,"0000"))</f>
        <v/>
      </c>
      <c r="B96" s="12" t="n"/>
      <c r="C96" s="11">
        <f>IF(B96="","",INDEX(Prestamos!$B:$B,MATCH(B96,Prestamos!$A:$A,0)))</f>
        <v/>
      </c>
      <c r="D96" s="13" t="n"/>
      <c r="E96" s="14" t="n"/>
      <c r="F96" s="16">
        <f>IF(B96="","",INDEX(Prestamos!$D:$D,MATCH(B96,Prestamos!$A:$A,0))-SUMIFS($H$1:H1,$B$1:B1,B96))</f>
        <v/>
      </c>
      <c r="G96" s="16">
        <f>IF(B96="","",F96*INDEX(Prestamos!$E:$E,MATCH(B96,Prestamos!$A:$A,0)))</f>
        <v/>
      </c>
      <c r="H96" s="16">
        <f>IF(B96="","",MAX(0,E96-G96))</f>
        <v/>
      </c>
      <c r="I96" s="16">
        <f>IF(B96="","",F96-H96)</f>
        <v/>
      </c>
    </row>
    <row r="97">
      <c r="A97" s="11">
        <f>IF(B97="","","PG"&amp;TEXT(ROW()-1,"0000"))</f>
        <v/>
      </c>
      <c r="B97" s="12" t="n"/>
      <c r="C97" s="11">
        <f>IF(B97="","",INDEX(Prestamos!$B:$B,MATCH(B97,Prestamos!$A:$A,0)))</f>
        <v/>
      </c>
      <c r="D97" s="13" t="n"/>
      <c r="E97" s="14" t="n"/>
      <c r="F97" s="16">
        <f>IF(B97="","",INDEX(Prestamos!$D:$D,MATCH(B97,Prestamos!$A:$A,0))-SUMIFS($H$1:H1,$B$1:B1,B97))</f>
        <v/>
      </c>
      <c r="G97" s="16">
        <f>IF(B97="","",F97*INDEX(Prestamos!$E:$E,MATCH(B97,Prestamos!$A:$A,0)))</f>
        <v/>
      </c>
      <c r="H97" s="16">
        <f>IF(B97="","",MAX(0,E97-G97))</f>
        <v/>
      </c>
      <c r="I97" s="16">
        <f>IF(B97="","",F97-H97)</f>
        <v/>
      </c>
    </row>
    <row r="98">
      <c r="A98" s="11">
        <f>IF(B98="","","PG"&amp;TEXT(ROW()-1,"0000"))</f>
        <v/>
      </c>
      <c r="B98" s="12" t="n"/>
      <c r="C98" s="11">
        <f>IF(B98="","",INDEX(Prestamos!$B:$B,MATCH(B98,Prestamos!$A:$A,0)))</f>
        <v/>
      </c>
      <c r="D98" s="13" t="n"/>
      <c r="E98" s="14" t="n"/>
      <c r="F98" s="16">
        <f>IF(B98="","",INDEX(Prestamos!$D:$D,MATCH(B98,Prestamos!$A:$A,0))-SUMIFS($H$1:H1,$B$1:B1,B98))</f>
        <v/>
      </c>
      <c r="G98" s="16">
        <f>IF(B98="","",F98*INDEX(Prestamos!$E:$E,MATCH(B98,Prestamos!$A:$A,0)))</f>
        <v/>
      </c>
      <c r="H98" s="16">
        <f>IF(B98="","",MAX(0,E98-G98))</f>
        <v/>
      </c>
      <c r="I98" s="16">
        <f>IF(B98="","",F98-H98)</f>
        <v/>
      </c>
    </row>
    <row r="99">
      <c r="A99" s="11">
        <f>IF(B99="","","PG"&amp;TEXT(ROW()-1,"0000"))</f>
        <v/>
      </c>
      <c r="B99" s="12" t="n"/>
      <c r="C99" s="11">
        <f>IF(B99="","",INDEX(Prestamos!$B:$B,MATCH(B99,Prestamos!$A:$A,0)))</f>
        <v/>
      </c>
      <c r="D99" s="13" t="n"/>
      <c r="E99" s="14" t="n"/>
      <c r="F99" s="16">
        <f>IF(B99="","",INDEX(Prestamos!$D:$D,MATCH(B99,Prestamos!$A:$A,0))-SUMIFS($H$1:H1,$B$1:B1,B99))</f>
        <v/>
      </c>
      <c r="G99" s="16">
        <f>IF(B99="","",F99*INDEX(Prestamos!$E:$E,MATCH(B99,Prestamos!$A:$A,0)))</f>
        <v/>
      </c>
      <c r="H99" s="16">
        <f>IF(B99="","",MAX(0,E99-G99))</f>
        <v/>
      </c>
      <c r="I99" s="16">
        <f>IF(B99="","",F99-H99)</f>
        <v/>
      </c>
    </row>
    <row r="100">
      <c r="A100" s="11">
        <f>IF(B100="","","PG"&amp;TEXT(ROW()-1,"0000"))</f>
        <v/>
      </c>
      <c r="B100" s="12" t="n"/>
      <c r="C100" s="11">
        <f>IF(B100="","",INDEX(Prestamos!$B:$B,MATCH(B100,Prestamos!$A:$A,0)))</f>
        <v/>
      </c>
      <c r="D100" s="13" t="n"/>
      <c r="E100" s="14" t="n"/>
      <c r="F100" s="16">
        <f>IF(B100="","",INDEX(Prestamos!$D:$D,MATCH(B100,Prestamos!$A:$A,0))-SUMIFS($H$1:H1,$B$1:B1,B100))</f>
        <v/>
      </c>
      <c r="G100" s="16">
        <f>IF(B100="","",F100*INDEX(Prestamos!$E:$E,MATCH(B100,Prestamos!$A:$A,0)))</f>
        <v/>
      </c>
      <c r="H100" s="16">
        <f>IF(B100="","",MAX(0,E100-G100))</f>
        <v/>
      </c>
      <c r="I100" s="16">
        <f>IF(B100="","",F100-H100)</f>
        <v/>
      </c>
    </row>
    <row r="101">
      <c r="A101" s="11">
        <f>IF(B101="","","PG"&amp;TEXT(ROW()-1,"0000"))</f>
        <v/>
      </c>
      <c r="B101" s="12" t="n"/>
      <c r="C101" s="11">
        <f>IF(B101="","",INDEX(Prestamos!$B:$B,MATCH(B101,Prestamos!$A:$A,0)))</f>
        <v/>
      </c>
      <c r="D101" s="13" t="n"/>
      <c r="E101" s="14" t="n"/>
      <c r="F101" s="16">
        <f>IF(B101="","",INDEX(Prestamos!$D:$D,MATCH(B101,Prestamos!$A:$A,0))-SUMIFS($H$1:H1,$B$1:B1,B101))</f>
        <v/>
      </c>
      <c r="G101" s="16">
        <f>IF(B101="","",F101*INDEX(Prestamos!$E:$E,MATCH(B101,Prestamos!$A:$A,0)))</f>
        <v/>
      </c>
      <c r="H101" s="16">
        <f>IF(B101="","",MAX(0,E101-G101))</f>
        <v/>
      </c>
      <c r="I101" s="16">
        <f>IF(B101="","",F101-H101)</f>
        <v/>
      </c>
    </row>
    <row r="102">
      <c r="A102" s="11">
        <f>IF(B102="","","PG"&amp;TEXT(ROW()-1,"0000"))</f>
        <v/>
      </c>
      <c r="B102" s="12" t="n"/>
      <c r="C102" s="11">
        <f>IF(B102="","",INDEX(Prestamos!$B:$B,MATCH(B102,Prestamos!$A:$A,0)))</f>
        <v/>
      </c>
      <c r="D102" s="13" t="n"/>
      <c r="E102" s="14" t="n"/>
      <c r="F102" s="16">
        <f>IF(B102="","",INDEX(Prestamos!$D:$D,MATCH(B102,Prestamos!$A:$A,0))-SUMIFS($H$1:H1,$B$1:B1,B102))</f>
        <v/>
      </c>
      <c r="G102" s="16">
        <f>IF(B102="","",F102*INDEX(Prestamos!$E:$E,MATCH(B102,Prestamos!$A:$A,0)))</f>
        <v/>
      </c>
      <c r="H102" s="16">
        <f>IF(B102="","",MAX(0,E102-G102))</f>
        <v/>
      </c>
      <c r="I102" s="16">
        <f>IF(B102="","",F102-H102)</f>
        <v/>
      </c>
    </row>
    <row r="103">
      <c r="A103" s="11">
        <f>IF(B103="","","PG"&amp;TEXT(ROW()-1,"0000"))</f>
        <v/>
      </c>
      <c r="B103" s="12" t="n"/>
      <c r="C103" s="11">
        <f>IF(B103="","",INDEX(Prestamos!$B:$B,MATCH(B103,Prestamos!$A:$A,0)))</f>
        <v/>
      </c>
      <c r="D103" s="13" t="n"/>
      <c r="E103" s="14" t="n"/>
      <c r="F103" s="16">
        <f>IF(B103="","",INDEX(Prestamos!$D:$D,MATCH(B103,Prestamos!$A:$A,0))-SUMIFS($H$1:H1,$B$1:B1,B103))</f>
        <v/>
      </c>
      <c r="G103" s="16">
        <f>IF(B103="","",F103*INDEX(Prestamos!$E:$E,MATCH(B103,Prestamos!$A:$A,0)))</f>
        <v/>
      </c>
      <c r="H103" s="16">
        <f>IF(B103="","",MAX(0,E103-G103))</f>
        <v/>
      </c>
      <c r="I103" s="16">
        <f>IF(B103="","",F103-H103)</f>
        <v/>
      </c>
    </row>
    <row r="104">
      <c r="A104" s="11">
        <f>IF(B104="","","PG"&amp;TEXT(ROW()-1,"0000"))</f>
        <v/>
      </c>
      <c r="B104" s="12" t="n"/>
      <c r="C104" s="11">
        <f>IF(B104="","",INDEX(Prestamos!$B:$B,MATCH(B104,Prestamos!$A:$A,0)))</f>
        <v/>
      </c>
      <c r="D104" s="13" t="n"/>
      <c r="E104" s="14" t="n"/>
      <c r="F104" s="16">
        <f>IF(B104="","",INDEX(Prestamos!$D:$D,MATCH(B104,Prestamos!$A:$A,0))-SUMIFS($H$1:H1,$B$1:B1,B104))</f>
        <v/>
      </c>
      <c r="G104" s="16">
        <f>IF(B104="","",F104*INDEX(Prestamos!$E:$E,MATCH(B104,Prestamos!$A:$A,0)))</f>
        <v/>
      </c>
      <c r="H104" s="16">
        <f>IF(B104="","",MAX(0,E104-G104))</f>
        <v/>
      </c>
      <c r="I104" s="16">
        <f>IF(B104="","",F104-H104)</f>
        <v/>
      </c>
    </row>
    <row r="105">
      <c r="A105" s="11">
        <f>IF(B105="","","PG"&amp;TEXT(ROW()-1,"0000"))</f>
        <v/>
      </c>
      <c r="B105" s="12" t="n"/>
      <c r="C105" s="11">
        <f>IF(B105="","",INDEX(Prestamos!$B:$B,MATCH(B105,Prestamos!$A:$A,0)))</f>
        <v/>
      </c>
      <c r="D105" s="13" t="n"/>
      <c r="E105" s="14" t="n"/>
      <c r="F105" s="16">
        <f>IF(B105="","",INDEX(Prestamos!$D:$D,MATCH(B105,Prestamos!$A:$A,0))-SUMIFS($H$1:H1,$B$1:B1,B105))</f>
        <v/>
      </c>
      <c r="G105" s="16">
        <f>IF(B105="","",F105*INDEX(Prestamos!$E:$E,MATCH(B105,Prestamos!$A:$A,0)))</f>
        <v/>
      </c>
      <c r="H105" s="16">
        <f>IF(B105="","",MAX(0,E105-G105))</f>
        <v/>
      </c>
      <c r="I105" s="16">
        <f>IF(B105="","",F105-H105)</f>
        <v/>
      </c>
    </row>
    <row r="106">
      <c r="A106" s="11">
        <f>IF(B106="","","PG"&amp;TEXT(ROW()-1,"0000"))</f>
        <v/>
      </c>
      <c r="B106" s="12" t="n"/>
      <c r="C106" s="11">
        <f>IF(B106="","",INDEX(Prestamos!$B:$B,MATCH(B106,Prestamos!$A:$A,0)))</f>
        <v/>
      </c>
      <c r="D106" s="13" t="n"/>
      <c r="E106" s="14" t="n"/>
      <c r="F106" s="16">
        <f>IF(B106="","",INDEX(Prestamos!$D:$D,MATCH(B106,Prestamos!$A:$A,0))-SUMIFS($H$1:H1,$B$1:B1,B106))</f>
        <v/>
      </c>
      <c r="G106" s="16">
        <f>IF(B106="","",F106*INDEX(Prestamos!$E:$E,MATCH(B106,Prestamos!$A:$A,0)))</f>
        <v/>
      </c>
      <c r="H106" s="16">
        <f>IF(B106="","",MAX(0,E106-G106))</f>
        <v/>
      </c>
      <c r="I106" s="16">
        <f>IF(B106="","",F106-H106)</f>
        <v/>
      </c>
    </row>
    <row r="107">
      <c r="A107" s="11">
        <f>IF(B107="","","PG"&amp;TEXT(ROW()-1,"0000"))</f>
        <v/>
      </c>
      <c r="B107" s="12" t="n"/>
      <c r="C107" s="11">
        <f>IF(B107="","",INDEX(Prestamos!$B:$B,MATCH(B107,Prestamos!$A:$A,0)))</f>
        <v/>
      </c>
      <c r="D107" s="13" t="n"/>
      <c r="E107" s="14" t="n"/>
      <c r="F107" s="16">
        <f>IF(B107="","",INDEX(Prestamos!$D:$D,MATCH(B107,Prestamos!$A:$A,0))-SUMIFS($H$1:H1,$B$1:B1,B107))</f>
        <v/>
      </c>
      <c r="G107" s="16">
        <f>IF(B107="","",F107*INDEX(Prestamos!$E:$E,MATCH(B107,Prestamos!$A:$A,0)))</f>
        <v/>
      </c>
      <c r="H107" s="16">
        <f>IF(B107="","",MAX(0,E107-G107))</f>
        <v/>
      </c>
      <c r="I107" s="16">
        <f>IF(B107="","",F107-H107)</f>
        <v/>
      </c>
    </row>
    <row r="108">
      <c r="A108" s="11">
        <f>IF(B108="","","PG"&amp;TEXT(ROW()-1,"0000"))</f>
        <v/>
      </c>
      <c r="B108" s="12" t="n"/>
      <c r="C108" s="11">
        <f>IF(B108="","",INDEX(Prestamos!$B:$B,MATCH(B108,Prestamos!$A:$A,0)))</f>
        <v/>
      </c>
      <c r="D108" s="13" t="n"/>
      <c r="E108" s="14" t="n"/>
      <c r="F108" s="16">
        <f>IF(B108="","",INDEX(Prestamos!$D:$D,MATCH(B108,Prestamos!$A:$A,0))-SUMIFS($H$1:H1,$B$1:B1,B108))</f>
        <v/>
      </c>
      <c r="G108" s="16">
        <f>IF(B108="","",F108*INDEX(Prestamos!$E:$E,MATCH(B108,Prestamos!$A:$A,0)))</f>
        <v/>
      </c>
      <c r="H108" s="16">
        <f>IF(B108="","",MAX(0,E108-G108))</f>
        <v/>
      </c>
      <c r="I108" s="16">
        <f>IF(B108="","",F108-H108)</f>
        <v/>
      </c>
    </row>
    <row r="109">
      <c r="A109" s="11">
        <f>IF(B109="","","PG"&amp;TEXT(ROW()-1,"0000"))</f>
        <v/>
      </c>
      <c r="B109" s="12" t="n"/>
      <c r="C109" s="11">
        <f>IF(B109="","",INDEX(Prestamos!$B:$B,MATCH(B109,Prestamos!$A:$A,0)))</f>
        <v/>
      </c>
      <c r="D109" s="13" t="n"/>
      <c r="E109" s="14" t="n"/>
      <c r="F109" s="16">
        <f>IF(B109="","",INDEX(Prestamos!$D:$D,MATCH(B109,Prestamos!$A:$A,0))-SUMIFS($H$1:H1,$B$1:B1,B109))</f>
        <v/>
      </c>
      <c r="G109" s="16">
        <f>IF(B109="","",F109*INDEX(Prestamos!$E:$E,MATCH(B109,Prestamos!$A:$A,0)))</f>
        <v/>
      </c>
      <c r="H109" s="16">
        <f>IF(B109="","",MAX(0,E109-G109))</f>
        <v/>
      </c>
      <c r="I109" s="16">
        <f>IF(B109="","",F109-H109)</f>
        <v/>
      </c>
    </row>
    <row r="110">
      <c r="A110" s="11">
        <f>IF(B110="","","PG"&amp;TEXT(ROW()-1,"0000"))</f>
        <v/>
      </c>
      <c r="B110" s="12" t="n"/>
      <c r="C110" s="11">
        <f>IF(B110="","",INDEX(Prestamos!$B:$B,MATCH(B110,Prestamos!$A:$A,0)))</f>
        <v/>
      </c>
      <c r="D110" s="13" t="n"/>
      <c r="E110" s="14" t="n"/>
      <c r="F110" s="16">
        <f>IF(B110="","",INDEX(Prestamos!$D:$D,MATCH(B110,Prestamos!$A:$A,0))-SUMIFS($H$1:H1,$B$1:B1,B110))</f>
        <v/>
      </c>
      <c r="G110" s="16">
        <f>IF(B110="","",F110*INDEX(Prestamos!$E:$E,MATCH(B110,Prestamos!$A:$A,0)))</f>
        <v/>
      </c>
      <c r="H110" s="16">
        <f>IF(B110="","",MAX(0,E110-G110))</f>
        <v/>
      </c>
      <c r="I110" s="16">
        <f>IF(B110="","",F110-H110)</f>
        <v/>
      </c>
    </row>
    <row r="111">
      <c r="A111" s="11">
        <f>IF(B111="","","PG"&amp;TEXT(ROW()-1,"0000"))</f>
        <v/>
      </c>
      <c r="B111" s="12" t="n"/>
      <c r="C111" s="11">
        <f>IF(B111="","",INDEX(Prestamos!$B:$B,MATCH(B111,Prestamos!$A:$A,0)))</f>
        <v/>
      </c>
      <c r="D111" s="13" t="n"/>
      <c r="E111" s="14" t="n"/>
      <c r="F111" s="16">
        <f>IF(B111="","",INDEX(Prestamos!$D:$D,MATCH(B111,Prestamos!$A:$A,0))-SUMIFS($H$1:H1,$B$1:B1,B111))</f>
        <v/>
      </c>
      <c r="G111" s="16">
        <f>IF(B111="","",F111*INDEX(Prestamos!$E:$E,MATCH(B111,Prestamos!$A:$A,0)))</f>
        <v/>
      </c>
      <c r="H111" s="16">
        <f>IF(B111="","",MAX(0,E111-G111))</f>
        <v/>
      </c>
      <c r="I111" s="16">
        <f>IF(B111="","",F111-H111)</f>
        <v/>
      </c>
    </row>
    <row r="112">
      <c r="A112" s="11">
        <f>IF(B112="","","PG"&amp;TEXT(ROW()-1,"0000"))</f>
        <v/>
      </c>
      <c r="B112" s="12" t="n"/>
      <c r="C112" s="11">
        <f>IF(B112="","",INDEX(Prestamos!$B:$B,MATCH(B112,Prestamos!$A:$A,0)))</f>
        <v/>
      </c>
      <c r="D112" s="13" t="n"/>
      <c r="E112" s="14" t="n"/>
      <c r="F112" s="16">
        <f>IF(B112="","",INDEX(Prestamos!$D:$D,MATCH(B112,Prestamos!$A:$A,0))-SUMIFS($H$1:H1,$B$1:B1,B112))</f>
        <v/>
      </c>
      <c r="G112" s="16">
        <f>IF(B112="","",F112*INDEX(Prestamos!$E:$E,MATCH(B112,Prestamos!$A:$A,0)))</f>
        <v/>
      </c>
      <c r="H112" s="16">
        <f>IF(B112="","",MAX(0,E112-G112))</f>
        <v/>
      </c>
      <c r="I112" s="16">
        <f>IF(B112="","",F112-H112)</f>
        <v/>
      </c>
    </row>
    <row r="113">
      <c r="A113" s="11">
        <f>IF(B113="","","PG"&amp;TEXT(ROW()-1,"0000"))</f>
        <v/>
      </c>
      <c r="B113" s="12" t="n"/>
      <c r="C113" s="11">
        <f>IF(B113="","",INDEX(Prestamos!$B:$B,MATCH(B113,Prestamos!$A:$A,0)))</f>
        <v/>
      </c>
      <c r="D113" s="13" t="n"/>
      <c r="E113" s="14" t="n"/>
      <c r="F113" s="16">
        <f>IF(B113="","",INDEX(Prestamos!$D:$D,MATCH(B113,Prestamos!$A:$A,0))-SUMIFS($H$1:H1,$B$1:B1,B113))</f>
        <v/>
      </c>
      <c r="G113" s="16">
        <f>IF(B113="","",F113*INDEX(Prestamos!$E:$E,MATCH(B113,Prestamos!$A:$A,0)))</f>
        <v/>
      </c>
      <c r="H113" s="16">
        <f>IF(B113="","",MAX(0,E113-G113))</f>
        <v/>
      </c>
      <c r="I113" s="16">
        <f>IF(B113="","",F113-H113)</f>
        <v/>
      </c>
    </row>
    <row r="114">
      <c r="A114" s="11">
        <f>IF(B114="","","PG"&amp;TEXT(ROW()-1,"0000"))</f>
        <v/>
      </c>
      <c r="B114" s="12" t="n"/>
      <c r="C114" s="11">
        <f>IF(B114="","",INDEX(Prestamos!$B:$B,MATCH(B114,Prestamos!$A:$A,0)))</f>
        <v/>
      </c>
      <c r="D114" s="13" t="n"/>
      <c r="E114" s="14" t="n"/>
      <c r="F114" s="16">
        <f>IF(B114="","",INDEX(Prestamos!$D:$D,MATCH(B114,Prestamos!$A:$A,0))-SUMIFS($H$1:H1,$B$1:B1,B114))</f>
        <v/>
      </c>
      <c r="G114" s="16">
        <f>IF(B114="","",F114*INDEX(Prestamos!$E:$E,MATCH(B114,Prestamos!$A:$A,0)))</f>
        <v/>
      </c>
      <c r="H114" s="16">
        <f>IF(B114="","",MAX(0,E114-G114))</f>
        <v/>
      </c>
      <c r="I114" s="16">
        <f>IF(B114="","",F114-H114)</f>
        <v/>
      </c>
    </row>
    <row r="115">
      <c r="A115" s="11">
        <f>IF(B115="","","PG"&amp;TEXT(ROW()-1,"0000"))</f>
        <v/>
      </c>
      <c r="B115" s="12" t="n"/>
      <c r="C115" s="11">
        <f>IF(B115="","",INDEX(Prestamos!$B:$B,MATCH(B115,Prestamos!$A:$A,0)))</f>
        <v/>
      </c>
      <c r="D115" s="13" t="n"/>
      <c r="E115" s="14" t="n"/>
      <c r="F115" s="16">
        <f>IF(B115="","",INDEX(Prestamos!$D:$D,MATCH(B115,Prestamos!$A:$A,0))-SUMIFS($H$1:H1,$B$1:B1,B115))</f>
        <v/>
      </c>
      <c r="G115" s="16">
        <f>IF(B115="","",F115*INDEX(Prestamos!$E:$E,MATCH(B115,Prestamos!$A:$A,0)))</f>
        <v/>
      </c>
      <c r="H115" s="16">
        <f>IF(B115="","",MAX(0,E115-G115))</f>
        <v/>
      </c>
      <c r="I115" s="16">
        <f>IF(B115="","",F115-H115)</f>
        <v/>
      </c>
    </row>
    <row r="116">
      <c r="A116" s="11">
        <f>IF(B116="","","PG"&amp;TEXT(ROW()-1,"0000"))</f>
        <v/>
      </c>
      <c r="B116" s="12" t="n"/>
      <c r="C116" s="11">
        <f>IF(B116="","",INDEX(Prestamos!$B:$B,MATCH(B116,Prestamos!$A:$A,0)))</f>
        <v/>
      </c>
      <c r="D116" s="13" t="n"/>
      <c r="E116" s="14" t="n"/>
      <c r="F116" s="16">
        <f>IF(B116="","",INDEX(Prestamos!$D:$D,MATCH(B116,Prestamos!$A:$A,0))-SUMIFS($H$1:H1,$B$1:B1,B116))</f>
        <v/>
      </c>
      <c r="G116" s="16">
        <f>IF(B116="","",F116*INDEX(Prestamos!$E:$E,MATCH(B116,Prestamos!$A:$A,0)))</f>
        <v/>
      </c>
      <c r="H116" s="16">
        <f>IF(B116="","",MAX(0,E116-G116))</f>
        <v/>
      </c>
      <c r="I116" s="16">
        <f>IF(B116="","",F116-H116)</f>
        <v/>
      </c>
    </row>
    <row r="117">
      <c r="A117" s="11">
        <f>IF(B117="","","PG"&amp;TEXT(ROW()-1,"0000"))</f>
        <v/>
      </c>
      <c r="B117" s="12" t="n"/>
      <c r="C117" s="11">
        <f>IF(B117="","",INDEX(Prestamos!$B:$B,MATCH(B117,Prestamos!$A:$A,0)))</f>
        <v/>
      </c>
      <c r="D117" s="13" t="n"/>
      <c r="E117" s="14" t="n"/>
      <c r="F117" s="16">
        <f>IF(B117="","",INDEX(Prestamos!$D:$D,MATCH(B117,Prestamos!$A:$A,0))-SUMIFS($H$1:H1,$B$1:B1,B117))</f>
        <v/>
      </c>
      <c r="G117" s="16">
        <f>IF(B117="","",F117*INDEX(Prestamos!$E:$E,MATCH(B117,Prestamos!$A:$A,0)))</f>
        <v/>
      </c>
      <c r="H117" s="16">
        <f>IF(B117="","",MAX(0,E117-G117))</f>
        <v/>
      </c>
      <c r="I117" s="16">
        <f>IF(B117="","",F117-H117)</f>
        <v/>
      </c>
    </row>
    <row r="118">
      <c r="A118" s="11">
        <f>IF(B118="","","PG"&amp;TEXT(ROW()-1,"0000"))</f>
        <v/>
      </c>
      <c r="B118" s="12" t="n"/>
      <c r="C118" s="11">
        <f>IF(B118="","",INDEX(Prestamos!$B:$B,MATCH(B118,Prestamos!$A:$A,0)))</f>
        <v/>
      </c>
      <c r="D118" s="13" t="n"/>
      <c r="E118" s="14" t="n"/>
      <c r="F118" s="16">
        <f>IF(B118="","",INDEX(Prestamos!$D:$D,MATCH(B118,Prestamos!$A:$A,0))-SUMIFS($H$1:H1,$B$1:B1,B118))</f>
        <v/>
      </c>
      <c r="G118" s="16">
        <f>IF(B118="","",F118*INDEX(Prestamos!$E:$E,MATCH(B118,Prestamos!$A:$A,0)))</f>
        <v/>
      </c>
      <c r="H118" s="16">
        <f>IF(B118="","",MAX(0,E118-G118))</f>
        <v/>
      </c>
      <c r="I118" s="16">
        <f>IF(B118="","",F118-H118)</f>
        <v/>
      </c>
    </row>
    <row r="119">
      <c r="A119" s="11">
        <f>IF(B119="","","PG"&amp;TEXT(ROW()-1,"0000"))</f>
        <v/>
      </c>
      <c r="B119" s="12" t="n"/>
      <c r="C119" s="11">
        <f>IF(B119="","",INDEX(Prestamos!$B:$B,MATCH(B119,Prestamos!$A:$A,0)))</f>
        <v/>
      </c>
      <c r="D119" s="13" t="n"/>
      <c r="E119" s="14" t="n"/>
      <c r="F119" s="16">
        <f>IF(B119="","",INDEX(Prestamos!$D:$D,MATCH(B119,Prestamos!$A:$A,0))-SUMIFS($H$1:H1,$B$1:B1,B119))</f>
        <v/>
      </c>
      <c r="G119" s="16">
        <f>IF(B119="","",F119*INDEX(Prestamos!$E:$E,MATCH(B119,Prestamos!$A:$A,0)))</f>
        <v/>
      </c>
      <c r="H119" s="16">
        <f>IF(B119="","",MAX(0,E119-G119))</f>
        <v/>
      </c>
      <c r="I119" s="16">
        <f>IF(B119="","",F119-H119)</f>
        <v/>
      </c>
    </row>
    <row r="120">
      <c r="A120" s="11">
        <f>IF(B120="","","PG"&amp;TEXT(ROW()-1,"0000"))</f>
        <v/>
      </c>
      <c r="B120" s="12" t="n"/>
      <c r="C120" s="11">
        <f>IF(B120="","",INDEX(Prestamos!$B:$B,MATCH(B120,Prestamos!$A:$A,0)))</f>
        <v/>
      </c>
      <c r="D120" s="13" t="n"/>
      <c r="E120" s="14" t="n"/>
      <c r="F120" s="16">
        <f>IF(B120="","",INDEX(Prestamos!$D:$D,MATCH(B120,Prestamos!$A:$A,0))-SUMIFS($H$1:H1,$B$1:B1,B120))</f>
        <v/>
      </c>
      <c r="G120" s="16">
        <f>IF(B120="","",F120*INDEX(Prestamos!$E:$E,MATCH(B120,Prestamos!$A:$A,0)))</f>
        <v/>
      </c>
      <c r="H120" s="16">
        <f>IF(B120="","",MAX(0,E120-G120))</f>
        <v/>
      </c>
      <c r="I120" s="16">
        <f>IF(B120="","",F120-H120)</f>
        <v/>
      </c>
    </row>
    <row r="121">
      <c r="A121" s="11">
        <f>IF(B121="","","PG"&amp;TEXT(ROW()-1,"0000"))</f>
        <v/>
      </c>
      <c r="B121" s="12" t="n"/>
      <c r="C121" s="11">
        <f>IF(B121="","",INDEX(Prestamos!$B:$B,MATCH(B121,Prestamos!$A:$A,0)))</f>
        <v/>
      </c>
      <c r="D121" s="13" t="n"/>
      <c r="E121" s="14" t="n"/>
      <c r="F121" s="16">
        <f>IF(B121="","",INDEX(Prestamos!$D:$D,MATCH(B121,Prestamos!$A:$A,0))-SUMIFS($H$1:H1,$B$1:B1,B121))</f>
        <v/>
      </c>
      <c r="G121" s="16">
        <f>IF(B121="","",F121*INDEX(Prestamos!$E:$E,MATCH(B121,Prestamos!$A:$A,0)))</f>
        <v/>
      </c>
      <c r="H121" s="16">
        <f>IF(B121="","",MAX(0,E121-G121))</f>
        <v/>
      </c>
      <c r="I121" s="16">
        <f>IF(B121="","",F121-H121)</f>
        <v/>
      </c>
    </row>
    <row r="122">
      <c r="A122" s="11">
        <f>IF(B122="","","PG"&amp;TEXT(ROW()-1,"0000"))</f>
        <v/>
      </c>
      <c r="B122" s="12" t="n"/>
      <c r="C122" s="11">
        <f>IF(B122="","",INDEX(Prestamos!$B:$B,MATCH(B122,Prestamos!$A:$A,0)))</f>
        <v/>
      </c>
      <c r="D122" s="13" t="n"/>
      <c r="E122" s="14" t="n"/>
      <c r="F122" s="16">
        <f>IF(B122="","",INDEX(Prestamos!$D:$D,MATCH(B122,Prestamos!$A:$A,0))-SUMIFS($H$1:H1,$B$1:B1,B122))</f>
        <v/>
      </c>
      <c r="G122" s="16">
        <f>IF(B122="","",F122*INDEX(Prestamos!$E:$E,MATCH(B122,Prestamos!$A:$A,0)))</f>
        <v/>
      </c>
      <c r="H122" s="16">
        <f>IF(B122="","",MAX(0,E122-G122))</f>
        <v/>
      </c>
      <c r="I122" s="16">
        <f>IF(B122="","",F122-H122)</f>
        <v/>
      </c>
    </row>
    <row r="123">
      <c r="A123" s="11">
        <f>IF(B123="","","PG"&amp;TEXT(ROW()-1,"0000"))</f>
        <v/>
      </c>
      <c r="B123" s="12" t="n"/>
      <c r="C123" s="11">
        <f>IF(B123="","",INDEX(Prestamos!$B:$B,MATCH(B123,Prestamos!$A:$A,0)))</f>
        <v/>
      </c>
      <c r="D123" s="13" t="n"/>
      <c r="E123" s="14" t="n"/>
      <c r="F123" s="16">
        <f>IF(B123="","",INDEX(Prestamos!$D:$D,MATCH(B123,Prestamos!$A:$A,0))-SUMIFS($H$1:H1,$B$1:B1,B123))</f>
        <v/>
      </c>
      <c r="G123" s="16">
        <f>IF(B123="","",F123*INDEX(Prestamos!$E:$E,MATCH(B123,Prestamos!$A:$A,0)))</f>
        <v/>
      </c>
      <c r="H123" s="16">
        <f>IF(B123="","",MAX(0,E123-G123))</f>
        <v/>
      </c>
      <c r="I123" s="16">
        <f>IF(B123="","",F123-H123)</f>
        <v/>
      </c>
    </row>
    <row r="124">
      <c r="A124" s="11">
        <f>IF(B124="","","PG"&amp;TEXT(ROW()-1,"0000"))</f>
        <v/>
      </c>
      <c r="B124" s="12" t="n"/>
      <c r="C124" s="11">
        <f>IF(B124="","",INDEX(Prestamos!$B:$B,MATCH(B124,Prestamos!$A:$A,0)))</f>
        <v/>
      </c>
      <c r="D124" s="13" t="n"/>
      <c r="E124" s="14" t="n"/>
      <c r="F124" s="16">
        <f>IF(B124="","",INDEX(Prestamos!$D:$D,MATCH(B124,Prestamos!$A:$A,0))-SUMIFS($H$1:H1,$B$1:B1,B124))</f>
        <v/>
      </c>
      <c r="G124" s="16">
        <f>IF(B124="","",F124*INDEX(Prestamos!$E:$E,MATCH(B124,Prestamos!$A:$A,0)))</f>
        <v/>
      </c>
      <c r="H124" s="16">
        <f>IF(B124="","",MAX(0,E124-G124))</f>
        <v/>
      </c>
      <c r="I124" s="16">
        <f>IF(B124="","",F124-H124)</f>
        <v/>
      </c>
    </row>
    <row r="125">
      <c r="A125" s="11">
        <f>IF(B125="","","PG"&amp;TEXT(ROW()-1,"0000"))</f>
        <v/>
      </c>
      <c r="B125" s="12" t="n"/>
      <c r="C125" s="11">
        <f>IF(B125="","",INDEX(Prestamos!$B:$B,MATCH(B125,Prestamos!$A:$A,0)))</f>
        <v/>
      </c>
      <c r="D125" s="13" t="n"/>
      <c r="E125" s="14" t="n"/>
      <c r="F125" s="16">
        <f>IF(B125="","",INDEX(Prestamos!$D:$D,MATCH(B125,Prestamos!$A:$A,0))-SUMIFS($H$1:H1,$B$1:B1,B125))</f>
        <v/>
      </c>
      <c r="G125" s="16">
        <f>IF(B125="","",F125*INDEX(Prestamos!$E:$E,MATCH(B125,Prestamos!$A:$A,0)))</f>
        <v/>
      </c>
      <c r="H125" s="16">
        <f>IF(B125="","",MAX(0,E125-G125))</f>
        <v/>
      </c>
      <c r="I125" s="16">
        <f>IF(B125="","",F125-H125)</f>
        <v/>
      </c>
    </row>
    <row r="126">
      <c r="A126" s="11">
        <f>IF(B126="","","PG"&amp;TEXT(ROW()-1,"0000"))</f>
        <v/>
      </c>
      <c r="B126" s="12" t="n"/>
      <c r="C126" s="11">
        <f>IF(B126="","",INDEX(Prestamos!$B:$B,MATCH(B126,Prestamos!$A:$A,0)))</f>
        <v/>
      </c>
      <c r="D126" s="13" t="n"/>
      <c r="E126" s="14" t="n"/>
      <c r="F126" s="16">
        <f>IF(B126="","",INDEX(Prestamos!$D:$D,MATCH(B126,Prestamos!$A:$A,0))-SUMIFS($H$1:H1,$B$1:B1,B126))</f>
        <v/>
      </c>
      <c r="G126" s="16">
        <f>IF(B126="","",F126*INDEX(Prestamos!$E:$E,MATCH(B126,Prestamos!$A:$A,0)))</f>
        <v/>
      </c>
      <c r="H126" s="16">
        <f>IF(B126="","",MAX(0,E126-G126))</f>
        <v/>
      </c>
      <c r="I126" s="16">
        <f>IF(B126="","",F126-H126)</f>
        <v/>
      </c>
    </row>
    <row r="127">
      <c r="A127" s="11">
        <f>IF(B127="","","PG"&amp;TEXT(ROW()-1,"0000"))</f>
        <v/>
      </c>
      <c r="B127" s="12" t="n"/>
      <c r="C127" s="11">
        <f>IF(B127="","",INDEX(Prestamos!$B:$B,MATCH(B127,Prestamos!$A:$A,0)))</f>
        <v/>
      </c>
      <c r="D127" s="13" t="n"/>
      <c r="E127" s="14" t="n"/>
      <c r="F127" s="16">
        <f>IF(B127="","",INDEX(Prestamos!$D:$D,MATCH(B127,Prestamos!$A:$A,0))-SUMIFS($H$1:H1,$B$1:B1,B127))</f>
        <v/>
      </c>
      <c r="G127" s="16">
        <f>IF(B127="","",F127*INDEX(Prestamos!$E:$E,MATCH(B127,Prestamos!$A:$A,0)))</f>
        <v/>
      </c>
      <c r="H127" s="16">
        <f>IF(B127="","",MAX(0,E127-G127))</f>
        <v/>
      </c>
      <c r="I127" s="16">
        <f>IF(B127="","",F127-H127)</f>
        <v/>
      </c>
    </row>
    <row r="128">
      <c r="A128" s="11">
        <f>IF(B128="","","PG"&amp;TEXT(ROW()-1,"0000"))</f>
        <v/>
      </c>
      <c r="B128" s="12" t="n"/>
      <c r="C128" s="11">
        <f>IF(B128="","",INDEX(Prestamos!$B:$B,MATCH(B128,Prestamos!$A:$A,0)))</f>
        <v/>
      </c>
      <c r="D128" s="13" t="n"/>
      <c r="E128" s="14" t="n"/>
      <c r="F128" s="16">
        <f>IF(B128="","",INDEX(Prestamos!$D:$D,MATCH(B128,Prestamos!$A:$A,0))-SUMIFS($H$1:H1,$B$1:B1,B128))</f>
        <v/>
      </c>
      <c r="G128" s="16">
        <f>IF(B128="","",F128*INDEX(Prestamos!$E:$E,MATCH(B128,Prestamos!$A:$A,0)))</f>
        <v/>
      </c>
      <c r="H128" s="16">
        <f>IF(B128="","",MAX(0,E128-G128))</f>
        <v/>
      </c>
      <c r="I128" s="16">
        <f>IF(B128="","",F128-H128)</f>
        <v/>
      </c>
    </row>
    <row r="129">
      <c r="A129" s="11">
        <f>IF(B129="","","PG"&amp;TEXT(ROW()-1,"0000"))</f>
        <v/>
      </c>
      <c r="B129" s="12" t="n"/>
      <c r="C129" s="11">
        <f>IF(B129="","",INDEX(Prestamos!$B:$B,MATCH(B129,Prestamos!$A:$A,0)))</f>
        <v/>
      </c>
      <c r="D129" s="13" t="n"/>
      <c r="E129" s="14" t="n"/>
      <c r="F129" s="16">
        <f>IF(B129="","",INDEX(Prestamos!$D:$D,MATCH(B129,Prestamos!$A:$A,0))-SUMIFS($H$1:H1,$B$1:B1,B129))</f>
        <v/>
      </c>
      <c r="G129" s="16">
        <f>IF(B129="","",F129*INDEX(Prestamos!$E:$E,MATCH(B129,Prestamos!$A:$A,0)))</f>
        <v/>
      </c>
      <c r="H129" s="16">
        <f>IF(B129="","",MAX(0,E129-G129))</f>
        <v/>
      </c>
      <c r="I129" s="16">
        <f>IF(B129="","",F129-H129)</f>
        <v/>
      </c>
    </row>
    <row r="130">
      <c r="A130" s="11">
        <f>IF(B130="","","PG"&amp;TEXT(ROW()-1,"0000"))</f>
        <v/>
      </c>
      <c r="B130" s="12" t="n"/>
      <c r="C130" s="11">
        <f>IF(B130="","",INDEX(Prestamos!$B:$B,MATCH(B130,Prestamos!$A:$A,0)))</f>
        <v/>
      </c>
      <c r="D130" s="13" t="n"/>
      <c r="E130" s="14" t="n"/>
      <c r="F130" s="16">
        <f>IF(B130="","",INDEX(Prestamos!$D:$D,MATCH(B130,Prestamos!$A:$A,0))-SUMIFS($H$1:H1,$B$1:B1,B130))</f>
        <v/>
      </c>
      <c r="G130" s="16">
        <f>IF(B130="","",F130*INDEX(Prestamos!$E:$E,MATCH(B130,Prestamos!$A:$A,0)))</f>
        <v/>
      </c>
      <c r="H130" s="16">
        <f>IF(B130="","",MAX(0,E130-G130))</f>
        <v/>
      </c>
      <c r="I130" s="16">
        <f>IF(B130="","",F130-H130)</f>
        <v/>
      </c>
    </row>
    <row r="131">
      <c r="A131" s="11">
        <f>IF(B131="","","PG"&amp;TEXT(ROW()-1,"0000"))</f>
        <v/>
      </c>
      <c r="B131" s="12" t="n"/>
      <c r="C131" s="11">
        <f>IF(B131="","",INDEX(Prestamos!$B:$B,MATCH(B131,Prestamos!$A:$A,0)))</f>
        <v/>
      </c>
      <c r="D131" s="13" t="n"/>
      <c r="E131" s="14" t="n"/>
      <c r="F131" s="16">
        <f>IF(B131="","",INDEX(Prestamos!$D:$D,MATCH(B131,Prestamos!$A:$A,0))-SUMIFS($H$1:H1,$B$1:B1,B131))</f>
        <v/>
      </c>
      <c r="G131" s="16">
        <f>IF(B131="","",F131*INDEX(Prestamos!$E:$E,MATCH(B131,Prestamos!$A:$A,0)))</f>
        <v/>
      </c>
      <c r="H131" s="16">
        <f>IF(B131="","",MAX(0,E131-G131))</f>
        <v/>
      </c>
      <c r="I131" s="16">
        <f>IF(B131="","",F131-H131)</f>
        <v/>
      </c>
    </row>
    <row r="132">
      <c r="A132" s="11">
        <f>IF(B132="","","PG"&amp;TEXT(ROW()-1,"0000"))</f>
        <v/>
      </c>
      <c r="B132" s="12" t="n"/>
      <c r="C132" s="11">
        <f>IF(B132="","",INDEX(Prestamos!$B:$B,MATCH(B132,Prestamos!$A:$A,0)))</f>
        <v/>
      </c>
      <c r="D132" s="13" t="n"/>
      <c r="E132" s="14" t="n"/>
      <c r="F132" s="16">
        <f>IF(B132="","",INDEX(Prestamos!$D:$D,MATCH(B132,Prestamos!$A:$A,0))-SUMIFS($H$1:H1,$B$1:B1,B132))</f>
        <v/>
      </c>
      <c r="G132" s="16">
        <f>IF(B132="","",F132*INDEX(Prestamos!$E:$E,MATCH(B132,Prestamos!$A:$A,0)))</f>
        <v/>
      </c>
      <c r="H132" s="16">
        <f>IF(B132="","",MAX(0,E132-G132))</f>
        <v/>
      </c>
      <c r="I132" s="16">
        <f>IF(B132="","",F132-H132)</f>
        <v/>
      </c>
    </row>
    <row r="133">
      <c r="A133" s="11">
        <f>IF(B133="","","PG"&amp;TEXT(ROW()-1,"0000"))</f>
        <v/>
      </c>
      <c r="B133" s="12" t="n"/>
      <c r="C133" s="11">
        <f>IF(B133="","",INDEX(Prestamos!$B:$B,MATCH(B133,Prestamos!$A:$A,0)))</f>
        <v/>
      </c>
      <c r="D133" s="13" t="n"/>
      <c r="E133" s="14" t="n"/>
      <c r="F133" s="16">
        <f>IF(B133="","",INDEX(Prestamos!$D:$D,MATCH(B133,Prestamos!$A:$A,0))-SUMIFS($H$1:H1,$B$1:B1,B133))</f>
        <v/>
      </c>
      <c r="G133" s="16">
        <f>IF(B133="","",F133*INDEX(Prestamos!$E:$E,MATCH(B133,Prestamos!$A:$A,0)))</f>
        <v/>
      </c>
      <c r="H133" s="16">
        <f>IF(B133="","",MAX(0,E133-G133))</f>
        <v/>
      </c>
      <c r="I133" s="16">
        <f>IF(B133="","",F133-H133)</f>
        <v/>
      </c>
    </row>
    <row r="134">
      <c r="A134" s="11">
        <f>IF(B134="","","PG"&amp;TEXT(ROW()-1,"0000"))</f>
        <v/>
      </c>
      <c r="B134" s="12" t="n"/>
      <c r="C134" s="11">
        <f>IF(B134="","",INDEX(Prestamos!$B:$B,MATCH(B134,Prestamos!$A:$A,0)))</f>
        <v/>
      </c>
      <c r="D134" s="13" t="n"/>
      <c r="E134" s="14" t="n"/>
      <c r="F134" s="16">
        <f>IF(B134="","",INDEX(Prestamos!$D:$D,MATCH(B134,Prestamos!$A:$A,0))-SUMIFS($H$1:H1,$B$1:B1,B134))</f>
        <v/>
      </c>
      <c r="G134" s="16">
        <f>IF(B134="","",F134*INDEX(Prestamos!$E:$E,MATCH(B134,Prestamos!$A:$A,0)))</f>
        <v/>
      </c>
      <c r="H134" s="16">
        <f>IF(B134="","",MAX(0,E134-G134))</f>
        <v/>
      </c>
      <c r="I134" s="16">
        <f>IF(B134="","",F134-H134)</f>
        <v/>
      </c>
    </row>
    <row r="135">
      <c r="A135" s="11">
        <f>IF(B135="","","PG"&amp;TEXT(ROW()-1,"0000"))</f>
        <v/>
      </c>
      <c r="B135" s="12" t="n"/>
      <c r="C135" s="11">
        <f>IF(B135="","",INDEX(Prestamos!$B:$B,MATCH(B135,Prestamos!$A:$A,0)))</f>
        <v/>
      </c>
      <c r="D135" s="13" t="n"/>
      <c r="E135" s="14" t="n"/>
      <c r="F135" s="16">
        <f>IF(B135="","",INDEX(Prestamos!$D:$D,MATCH(B135,Prestamos!$A:$A,0))-SUMIFS($H$1:H1,$B$1:B1,B135))</f>
        <v/>
      </c>
      <c r="G135" s="16">
        <f>IF(B135="","",F135*INDEX(Prestamos!$E:$E,MATCH(B135,Prestamos!$A:$A,0)))</f>
        <v/>
      </c>
      <c r="H135" s="16">
        <f>IF(B135="","",MAX(0,E135-G135))</f>
        <v/>
      </c>
      <c r="I135" s="16">
        <f>IF(B135="","",F135-H135)</f>
        <v/>
      </c>
    </row>
    <row r="136">
      <c r="A136" s="11">
        <f>IF(B136="","","PG"&amp;TEXT(ROW()-1,"0000"))</f>
        <v/>
      </c>
      <c r="B136" s="12" t="n"/>
      <c r="C136" s="11">
        <f>IF(B136="","",INDEX(Prestamos!$B:$B,MATCH(B136,Prestamos!$A:$A,0)))</f>
        <v/>
      </c>
      <c r="D136" s="13" t="n"/>
      <c r="E136" s="14" t="n"/>
      <c r="F136" s="16">
        <f>IF(B136="","",INDEX(Prestamos!$D:$D,MATCH(B136,Prestamos!$A:$A,0))-SUMIFS($H$1:H1,$B$1:B1,B136))</f>
        <v/>
      </c>
      <c r="G136" s="16">
        <f>IF(B136="","",F136*INDEX(Prestamos!$E:$E,MATCH(B136,Prestamos!$A:$A,0)))</f>
        <v/>
      </c>
      <c r="H136" s="16">
        <f>IF(B136="","",MAX(0,E136-G136))</f>
        <v/>
      </c>
      <c r="I136" s="16">
        <f>IF(B136="","",F136-H136)</f>
        <v/>
      </c>
    </row>
    <row r="137">
      <c r="A137" s="11">
        <f>IF(B137="","","PG"&amp;TEXT(ROW()-1,"0000"))</f>
        <v/>
      </c>
      <c r="B137" s="12" t="n"/>
      <c r="C137" s="11">
        <f>IF(B137="","",INDEX(Prestamos!$B:$B,MATCH(B137,Prestamos!$A:$A,0)))</f>
        <v/>
      </c>
      <c r="D137" s="13" t="n"/>
      <c r="E137" s="14" t="n"/>
      <c r="F137" s="16">
        <f>IF(B137="","",INDEX(Prestamos!$D:$D,MATCH(B137,Prestamos!$A:$A,0))-SUMIFS($H$1:H1,$B$1:B1,B137))</f>
        <v/>
      </c>
      <c r="G137" s="16">
        <f>IF(B137="","",F137*INDEX(Prestamos!$E:$E,MATCH(B137,Prestamos!$A:$A,0)))</f>
        <v/>
      </c>
      <c r="H137" s="16">
        <f>IF(B137="","",MAX(0,E137-G137))</f>
        <v/>
      </c>
      <c r="I137" s="16">
        <f>IF(B137="","",F137-H137)</f>
        <v/>
      </c>
    </row>
    <row r="138">
      <c r="A138" s="11">
        <f>IF(B138="","","PG"&amp;TEXT(ROW()-1,"0000"))</f>
        <v/>
      </c>
      <c r="B138" s="12" t="n"/>
      <c r="C138" s="11">
        <f>IF(B138="","",INDEX(Prestamos!$B:$B,MATCH(B138,Prestamos!$A:$A,0)))</f>
        <v/>
      </c>
      <c r="D138" s="13" t="n"/>
      <c r="E138" s="14" t="n"/>
      <c r="F138" s="16">
        <f>IF(B138="","",INDEX(Prestamos!$D:$D,MATCH(B138,Prestamos!$A:$A,0))-SUMIFS($H$1:H1,$B$1:B1,B138))</f>
        <v/>
      </c>
      <c r="G138" s="16">
        <f>IF(B138="","",F138*INDEX(Prestamos!$E:$E,MATCH(B138,Prestamos!$A:$A,0)))</f>
        <v/>
      </c>
      <c r="H138" s="16">
        <f>IF(B138="","",MAX(0,E138-G138))</f>
        <v/>
      </c>
      <c r="I138" s="16">
        <f>IF(B138="","",F138-H138)</f>
        <v/>
      </c>
    </row>
    <row r="139">
      <c r="A139" s="11">
        <f>IF(B139="","","PG"&amp;TEXT(ROW()-1,"0000"))</f>
        <v/>
      </c>
      <c r="B139" s="12" t="n"/>
      <c r="C139" s="11">
        <f>IF(B139="","",INDEX(Prestamos!$B:$B,MATCH(B139,Prestamos!$A:$A,0)))</f>
        <v/>
      </c>
      <c r="D139" s="13" t="n"/>
      <c r="E139" s="14" t="n"/>
      <c r="F139" s="16">
        <f>IF(B139="","",INDEX(Prestamos!$D:$D,MATCH(B139,Prestamos!$A:$A,0))-SUMIFS($H$1:H1,$B$1:B1,B139))</f>
        <v/>
      </c>
      <c r="G139" s="16">
        <f>IF(B139="","",F139*INDEX(Prestamos!$E:$E,MATCH(B139,Prestamos!$A:$A,0)))</f>
        <v/>
      </c>
      <c r="H139" s="16">
        <f>IF(B139="","",MAX(0,E139-G139))</f>
        <v/>
      </c>
      <c r="I139" s="16">
        <f>IF(B139="","",F139-H139)</f>
        <v/>
      </c>
    </row>
    <row r="140">
      <c r="A140" s="11">
        <f>IF(B140="","","PG"&amp;TEXT(ROW()-1,"0000"))</f>
        <v/>
      </c>
      <c r="B140" s="12" t="n"/>
      <c r="C140" s="11">
        <f>IF(B140="","",INDEX(Prestamos!$B:$B,MATCH(B140,Prestamos!$A:$A,0)))</f>
        <v/>
      </c>
      <c r="D140" s="13" t="n"/>
      <c r="E140" s="14" t="n"/>
      <c r="F140" s="16">
        <f>IF(B140="","",INDEX(Prestamos!$D:$D,MATCH(B140,Prestamos!$A:$A,0))-SUMIFS($H$1:H1,$B$1:B1,B140))</f>
        <v/>
      </c>
      <c r="G140" s="16">
        <f>IF(B140="","",F140*INDEX(Prestamos!$E:$E,MATCH(B140,Prestamos!$A:$A,0)))</f>
        <v/>
      </c>
      <c r="H140" s="16">
        <f>IF(B140="","",MAX(0,E140-G140))</f>
        <v/>
      </c>
      <c r="I140" s="16">
        <f>IF(B140="","",F140-H140)</f>
        <v/>
      </c>
    </row>
    <row r="141">
      <c r="A141" s="11">
        <f>IF(B141="","","PG"&amp;TEXT(ROW()-1,"0000"))</f>
        <v/>
      </c>
      <c r="B141" s="12" t="n"/>
      <c r="C141" s="11">
        <f>IF(B141="","",INDEX(Prestamos!$B:$B,MATCH(B141,Prestamos!$A:$A,0)))</f>
        <v/>
      </c>
      <c r="D141" s="13" t="n"/>
      <c r="E141" s="14" t="n"/>
      <c r="F141" s="16">
        <f>IF(B141="","",INDEX(Prestamos!$D:$D,MATCH(B141,Prestamos!$A:$A,0))-SUMIFS($H$1:H1,$B$1:B1,B141))</f>
        <v/>
      </c>
      <c r="G141" s="16">
        <f>IF(B141="","",F141*INDEX(Prestamos!$E:$E,MATCH(B141,Prestamos!$A:$A,0)))</f>
        <v/>
      </c>
      <c r="H141" s="16">
        <f>IF(B141="","",MAX(0,E141-G141))</f>
        <v/>
      </c>
      <c r="I141" s="16">
        <f>IF(B141="","",F141-H141)</f>
        <v/>
      </c>
    </row>
    <row r="142">
      <c r="A142" s="11">
        <f>IF(B142="","","PG"&amp;TEXT(ROW()-1,"0000"))</f>
        <v/>
      </c>
      <c r="B142" s="12" t="n"/>
      <c r="C142" s="11">
        <f>IF(B142="","",INDEX(Prestamos!$B:$B,MATCH(B142,Prestamos!$A:$A,0)))</f>
        <v/>
      </c>
      <c r="D142" s="13" t="n"/>
      <c r="E142" s="14" t="n"/>
      <c r="F142" s="16">
        <f>IF(B142="","",INDEX(Prestamos!$D:$D,MATCH(B142,Prestamos!$A:$A,0))-SUMIFS($H$1:H1,$B$1:B1,B142))</f>
        <v/>
      </c>
      <c r="G142" s="16">
        <f>IF(B142="","",F142*INDEX(Prestamos!$E:$E,MATCH(B142,Prestamos!$A:$A,0)))</f>
        <v/>
      </c>
      <c r="H142" s="16">
        <f>IF(B142="","",MAX(0,E142-G142))</f>
        <v/>
      </c>
      <c r="I142" s="16">
        <f>IF(B142="","",F142-H142)</f>
        <v/>
      </c>
    </row>
    <row r="143">
      <c r="A143" s="11">
        <f>IF(B143="","","PG"&amp;TEXT(ROW()-1,"0000"))</f>
        <v/>
      </c>
      <c r="B143" s="12" t="n"/>
      <c r="C143" s="11">
        <f>IF(B143="","",INDEX(Prestamos!$B:$B,MATCH(B143,Prestamos!$A:$A,0)))</f>
        <v/>
      </c>
      <c r="D143" s="13" t="n"/>
      <c r="E143" s="14" t="n"/>
      <c r="F143" s="16">
        <f>IF(B143="","",INDEX(Prestamos!$D:$D,MATCH(B143,Prestamos!$A:$A,0))-SUMIFS($H$1:H1,$B$1:B1,B143))</f>
        <v/>
      </c>
      <c r="G143" s="16">
        <f>IF(B143="","",F143*INDEX(Prestamos!$E:$E,MATCH(B143,Prestamos!$A:$A,0)))</f>
        <v/>
      </c>
      <c r="H143" s="16">
        <f>IF(B143="","",MAX(0,E143-G143))</f>
        <v/>
      </c>
      <c r="I143" s="16">
        <f>IF(B143="","",F143-H143)</f>
        <v/>
      </c>
    </row>
    <row r="144">
      <c r="A144" s="11">
        <f>IF(B144="","","PG"&amp;TEXT(ROW()-1,"0000"))</f>
        <v/>
      </c>
      <c r="B144" s="12" t="n"/>
      <c r="C144" s="11">
        <f>IF(B144="","",INDEX(Prestamos!$B:$B,MATCH(B144,Prestamos!$A:$A,0)))</f>
        <v/>
      </c>
      <c r="D144" s="13" t="n"/>
      <c r="E144" s="14" t="n"/>
      <c r="F144" s="16">
        <f>IF(B144="","",INDEX(Prestamos!$D:$D,MATCH(B144,Prestamos!$A:$A,0))-SUMIFS($H$1:H1,$B$1:B1,B144))</f>
        <v/>
      </c>
      <c r="G144" s="16">
        <f>IF(B144="","",F144*INDEX(Prestamos!$E:$E,MATCH(B144,Prestamos!$A:$A,0)))</f>
        <v/>
      </c>
      <c r="H144" s="16">
        <f>IF(B144="","",MAX(0,E144-G144))</f>
        <v/>
      </c>
      <c r="I144" s="16">
        <f>IF(B144="","",F144-H144)</f>
        <v/>
      </c>
    </row>
    <row r="145">
      <c r="A145" s="11">
        <f>IF(B145="","","PG"&amp;TEXT(ROW()-1,"0000"))</f>
        <v/>
      </c>
      <c r="B145" s="12" t="n"/>
      <c r="C145" s="11">
        <f>IF(B145="","",INDEX(Prestamos!$B:$B,MATCH(B145,Prestamos!$A:$A,0)))</f>
        <v/>
      </c>
      <c r="D145" s="13" t="n"/>
      <c r="E145" s="14" t="n"/>
      <c r="F145" s="16">
        <f>IF(B145="","",INDEX(Prestamos!$D:$D,MATCH(B145,Prestamos!$A:$A,0))-SUMIFS($H$1:H1,$B$1:B1,B145))</f>
        <v/>
      </c>
      <c r="G145" s="16">
        <f>IF(B145="","",F145*INDEX(Prestamos!$E:$E,MATCH(B145,Prestamos!$A:$A,0)))</f>
        <v/>
      </c>
      <c r="H145" s="16">
        <f>IF(B145="","",MAX(0,E145-G145))</f>
        <v/>
      </c>
      <c r="I145" s="16">
        <f>IF(B145="","",F145-H145)</f>
        <v/>
      </c>
    </row>
    <row r="146">
      <c r="A146" s="11">
        <f>IF(B146="","","PG"&amp;TEXT(ROW()-1,"0000"))</f>
        <v/>
      </c>
      <c r="B146" s="12" t="n"/>
      <c r="C146" s="11">
        <f>IF(B146="","",INDEX(Prestamos!$B:$B,MATCH(B146,Prestamos!$A:$A,0)))</f>
        <v/>
      </c>
      <c r="D146" s="13" t="n"/>
      <c r="E146" s="14" t="n"/>
      <c r="F146" s="16">
        <f>IF(B146="","",INDEX(Prestamos!$D:$D,MATCH(B146,Prestamos!$A:$A,0))-SUMIFS($H$1:H1,$B$1:B1,B146))</f>
        <v/>
      </c>
      <c r="G146" s="16">
        <f>IF(B146="","",F146*INDEX(Prestamos!$E:$E,MATCH(B146,Prestamos!$A:$A,0)))</f>
        <v/>
      </c>
      <c r="H146" s="16">
        <f>IF(B146="","",MAX(0,E146-G146))</f>
        <v/>
      </c>
      <c r="I146" s="16">
        <f>IF(B146="","",F146-H146)</f>
        <v/>
      </c>
    </row>
    <row r="147">
      <c r="A147" s="11">
        <f>IF(B147="","","PG"&amp;TEXT(ROW()-1,"0000"))</f>
        <v/>
      </c>
      <c r="B147" s="12" t="n"/>
      <c r="C147" s="11">
        <f>IF(B147="","",INDEX(Prestamos!$B:$B,MATCH(B147,Prestamos!$A:$A,0)))</f>
        <v/>
      </c>
      <c r="D147" s="13" t="n"/>
      <c r="E147" s="14" t="n"/>
      <c r="F147" s="16">
        <f>IF(B147="","",INDEX(Prestamos!$D:$D,MATCH(B147,Prestamos!$A:$A,0))-SUMIFS($H$1:H1,$B$1:B1,B147))</f>
        <v/>
      </c>
      <c r="G147" s="16">
        <f>IF(B147="","",F147*INDEX(Prestamos!$E:$E,MATCH(B147,Prestamos!$A:$A,0)))</f>
        <v/>
      </c>
      <c r="H147" s="16">
        <f>IF(B147="","",MAX(0,E147-G147))</f>
        <v/>
      </c>
      <c r="I147" s="16">
        <f>IF(B147="","",F147-H147)</f>
        <v/>
      </c>
    </row>
    <row r="148">
      <c r="A148" s="11">
        <f>IF(B148="","","PG"&amp;TEXT(ROW()-1,"0000"))</f>
        <v/>
      </c>
      <c r="B148" s="12" t="n"/>
      <c r="C148" s="11">
        <f>IF(B148="","",INDEX(Prestamos!$B:$B,MATCH(B148,Prestamos!$A:$A,0)))</f>
        <v/>
      </c>
      <c r="D148" s="13" t="n"/>
      <c r="E148" s="14" t="n"/>
      <c r="F148" s="16">
        <f>IF(B148="","",INDEX(Prestamos!$D:$D,MATCH(B148,Prestamos!$A:$A,0))-SUMIFS($H$1:H1,$B$1:B1,B148))</f>
        <v/>
      </c>
      <c r="G148" s="16">
        <f>IF(B148="","",F148*INDEX(Prestamos!$E:$E,MATCH(B148,Prestamos!$A:$A,0)))</f>
        <v/>
      </c>
      <c r="H148" s="16">
        <f>IF(B148="","",MAX(0,E148-G148))</f>
        <v/>
      </c>
      <c r="I148" s="16">
        <f>IF(B148="","",F148-H148)</f>
        <v/>
      </c>
    </row>
    <row r="149">
      <c r="A149" s="11">
        <f>IF(B149="","","PG"&amp;TEXT(ROW()-1,"0000"))</f>
        <v/>
      </c>
      <c r="B149" s="12" t="n"/>
      <c r="C149" s="11">
        <f>IF(B149="","",INDEX(Prestamos!$B:$B,MATCH(B149,Prestamos!$A:$A,0)))</f>
        <v/>
      </c>
      <c r="D149" s="13" t="n"/>
      <c r="E149" s="14" t="n"/>
      <c r="F149" s="16">
        <f>IF(B149="","",INDEX(Prestamos!$D:$D,MATCH(B149,Prestamos!$A:$A,0))-SUMIFS($H$1:H1,$B$1:B1,B149))</f>
        <v/>
      </c>
      <c r="G149" s="16">
        <f>IF(B149="","",F149*INDEX(Prestamos!$E:$E,MATCH(B149,Prestamos!$A:$A,0)))</f>
        <v/>
      </c>
      <c r="H149" s="16">
        <f>IF(B149="","",MAX(0,E149-G149))</f>
        <v/>
      </c>
      <c r="I149" s="16">
        <f>IF(B149="","",F149-H149)</f>
        <v/>
      </c>
    </row>
    <row r="150">
      <c r="A150" s="11">
        <f>IF(B150="","","PG"&amp;TEXT(ROW()-1,"0000"))</f>
        <v/>
      </c>
      <c r="B150" s="12" t="n"/>
      <c r="C150" s="11">
        <f>IF(B150="","",INDEX(Prestamos!$B:$B,MATCH(B150,Prestamos!$A:$A,0)))</f>
        <v/>
      </c>
      <c r="D150" s="13" t="n"/>
      <c r="E150" s="14" t="n"/>
      <c r="F150" s="16">
        <f>IF(B150="","",INDEX(Prestamos!$D:$D,MATCH(B150,Prestamos!$A:$A,0))-SUMIFS($H$1:H1,$B$1:B1,B150))</f>
        <v/>
      </c>
      <c r="G150" s="16">
        <f>IF(B150="","",F150*INDEX(Prestamos!$E:$E,MATCH(B150,Prestamos!$A:$A,0)))</f>
        <v/>
      </c>
      <c r="H150" s="16">
        <f>IF(B150="","",MAX(0,E150-G150))</f>
        <v/>
      </c>
      <c r="I150" s="16">
        <f>IF(B150="","",F150-H150)</f>
        <v/>
      </c>
    </row>
    <row r="151">
      <c r="A151" s="11">
        <f>IF(B151="","","PG"&amp;TEXT(ROW()-1,"0000"))</f>
        <v/>
      </c>
      <c r="B151" s="12" t="n"/>
      <c r="C151" s="11">
        <f>IF(B151="","",INDEX(Prestamos!$B:$B,MATCH(B151,Prestamos!$A:$A,0)))</f>
        <v/>
      </c>
      <c r="D151" s="13" t="n"/>
      <c r="E151" s="14" t="n"/>
      <c r="F151" s="16">
        <f>IF(B151="","",INDEX(Prestamos!$D:$D,MATCH(B151,Prestamos!$A:$A,0))-SUMIFS($H$1:H1,$B$1:B1,B151))</f>
        <v/>
      </c>
      <c r="G151" s="16">
        <f>IF(B151="","",F151*INDEX(Prestamos!$E:$E,MATCH(B151,Prestamos!$A:$A,0)))</f>
        <v/>
      </c>
      <c r="H151" s="16">
        <f>IF(B151="","",MAX(0,E151-G151))</f>
        <v/>
      </c>
      <c r="I151" s="16">
        <f>IF(B151="","",F151-H151)</f>
        <v/>
      </c>
    </row>
    <row r="152">
      <c r="A152" s="11">
        <f>IF(B152="","","PG"&amp;TEXT(ROW()-1,"0000"))</f>
        <v/>
      </c>
      <c r="B152" s="12" t="n"/>
      <c r="C152" s="11">
        <f>IF(B152="","",INDEX(Prestamos!$B:$B,MATCH(B152,Prestamos!$A:$A,0)))</f>
        <v/>
      </c>
      <c r="D152" s="13" t="n"/>
      <c r="E152" s="14" t="n"/>
      <c r="F152" s="16">
        <f>IF(B152="","",INDEX(Prestamos!$D:$D,MATCH(B152,Prestamos!$A:$A,0))-SUMIFS($H$1:H1,$B$1:B1,B152))</f>
        <v/>
      </c>
      <c r="G152" s="16">
        <f>IF(B152="","",F152*INDEX(Prestamos!$E:$E,MATCH(B152,Prestamos!$A:$A,0)))</f>
        <v/>
      </c>
      <c r="H152" s="16">
        <f>IF(B152="","",MAX(0,E152-G152))</f>
        <v/>
      </c>
      <c r="I152" s="16">
        <f>IF(B152="","",F152-H152)</f>
        <v/>
      </c>
    </row>
    <row r="153">
      <c r="A153" s="11">
        <f>IF(B153="","","PG"&amp;TEXT(ROW()-1,"0000"))</f>
        <v/>
      </c>
      <c r="B153" s="12" t="n"/>
      <c r="C153" s="11">
        <f>IF(B153="","",INDEX(Prestamos!$B:$B,MATCH(B153,Prestamos!$A:$A,0)))</f>
        <v/>
      </c>
      <c r="D153" s="13" t="n"/>
      <c r="E153" s="14" t="n"/>
      <c r="F153" s="16">
        <f>IF(B153="","",INDEX(Prestamos!$D:$D,MATCH(B153,Prestamos!$A:$A,0))-SUMIFS($H$1:H1,$B$1:B1,B153))</f>
        <v/>
      </c>
      <c r="G153" s="16">
        <f>IF(B153="","",F153*INDEX(Prestamos!$E:$E,MATCH(B153,Prestamos!$A:$A,0)))</f>
        <v/>
      </c>
      <c r="H153" s="16">
        <f>IF(B153="","",MAX(0,E153-G153))</f>
        <v/>
      </c>
      <c r="I153" s="16">
        <f>IF(B153="","",F153-H153)</f>
        <v/>
      </c>
    </row>
    <row r="154">
      <c r="A154" s="11">
        <f>IF(B154="","","PG"&amp;TEXT(ROW()-1,"0000"))</f>
        <v/>
      </c>
      <c r="B154" s="12" t="n"/>
      <c r="C154" s="11">
        <f>IF(B154="","",INDEX(Prestamos!$B:$B,MATCH(B154,Prestamos!$A:$A,0)))</f>
        <v/>
      </c>
      <c r="D154" s="13" t="n"/>
      <c r="E154" s="14" t="n"/>
      <c r="F154" s="16">
        <f>IF(B154="","",INDEX(Prestamos!$D:$D,MATCH(B154,Prestamos!$A:$A,0))-SUMIFS($H$1:H1,$B$1:B1,B154))</f>
        <v/>
      </c>
      <c r="G154" s="16">
        <f>IF(B154="","",F154*INDEX(Prestamos!$E:$E,MATCH(B154,Prestamos!$A:$A,0)))</f>
        <v/>
      </c>
      <c r="H154" s="16">
        <f>IF(B154="","",MAX(0,E154-G154))</f>
        <v/>
      </c>
      <c r="I154" s="16">
        <f>IF(B154="","",F154-H154)</f>
        <v/>
      </c>
    </row>
    <row r="155">
      <c r="A155" s="11">
        <f>IF(B155="","","PG"&amp;TEXT(ROW()-1,"0000"))</f>
        <v/>
      </c>
      <c r="B155" s="12" t="n"/>
      <c r="C155" s="11">
        <f>IF(B155="","",INDEX(Prestamos!$B:$B,MATCH(B155,Prestamos!$A:$A,0)))</f>
        <v/>
      </c>
      <c r="D155" s="13" t="n"/>
      <c r="E155" s="14" t="n"/>
      <c r="F155" s="16">
        <f>IF(B155="","",INDEX(Prestamos!$D:$D,MATCH(B155,Prestamos!$A:$A,0))-SUMIFS($H$1:H1,$B$1:B1,B155))</f>
        <v/>
      </c>
      <c r="G155" s="16">
        <f>IF(B155="","",F155*INDEX(Prestamos!$E:$E,MATCH(B155,Prestamos!$A:$A,0)))</f>
        <v/>
      </c>
      <c r="H155" s="16">
        <f>IF(B155="","",MAX(0,E155-G155))</f>
        <v/>
      </c>
      <c r="I155" s="16">
        <f>IF(B155="","",F155-H155)</f>
        <v/>
      </c>
    </row>
    <row r="156">
      <c r="A156" s="11">
        <f>IF(B156="","","PG"&amp;TEXT(ROW()-1,"0000"))</f>
        <v/>
      </c>
      <c r="B156" s="12" t="n"/>
      <c r="C156" s="11">
        <f>IF(B156="","",INDEX(Prestamos!$B:$B,MATCH(B156,Prestamos!$A:$A,0)))</f>
        <v/>
      </c>
      <c r="D156" s="13" t="n"/>
      <c r="E156" s="14" t="n"/>
      <c r="F156" s="16">
        <f>IF(B156="","",INDEX(Prestamos!$D:$D,MATCH(B156,Prestamos!$A:$A,0))-SUMIFS($H$1:H1,$B$1:B1,B156))</f>
        <v/>
      </c>
      <c r="G156" s="16">
        <f>IF(B156="","",F156*INDEX(Prestamos!$E:$E,MATCH(B156,Prestamos!$A:$A,0)))</f>
        <v/>
      </c>
      <c r="H156" s="16">
        <f>IF(B156="","",MAX(0,E156-G156))</f>
        <v/>
      </c>
      <c r="I156" s="16">
        <f>IF(B156="","",F156-H156)</f>
        <v/>
      </c>
    </row>
    <row r="157">
      <c r="A157" s="11">
        <f>IF(B157="","","PG"&amp;TEXT(ROW()-1,"0000"))</f>
        <v/>
      </c>
      <c r="B157" s="12" t="n"/>
      <c r="C157" s="11">
        <f>IF(B157="","",INDEX(Prestamos!$B:$B,MATCH(B157,Prestamos!$A:$A,0)))</f>
        <v/>
      </c>
      <c r="D157" s="13" t="n"/>
      <c r="E157" s="14" t="n"/>
      <c r="F157" s="16">
        <f>IF(B157="","",INDEX(Prestamos!$D:$D,MATCH(B157,Prestamos!$A:$A,0))-SUMIFS($H$1:H1,$B$1:B1,B157))</f>
        <v/>
      </c>
      <c r="G157" s="16">
        <f>IF(B157="","",F157*INDEX(Prestamos!$E:$E,MATCH(B157,Prestamos!$A:$A,0)))</f>
        <v/>
      </c>
      <c r="H157" s="16">
        <f>IF(B157="","",MAX(0,E157-G157))</f>
        <v/>
      </c>
      <c r="I157" s="16">
        <f>IF(B157="","",F157-H157)</f>
        <v/>
      </c>
    </row>
    <row r="158">
      <c r="A158" s="11">
        <f>IF(B158="","","PG"&amp;TEXT(ROW()-1,"0000"))</f>
        <v/>
      </c>
      <c r="B158" s="12" t="n"/>
      <c r="C158" s="11">
        <f>IF(B158="","",INDEX(Prestamos!$B:$B,MATCH(B158,Prestamos!$A:$A,0)))</f>
        <v/>
      </c>
      <c r="D158" s="13" t="n"/>
      <c r="E158" s="14" t="n"/>
      <c r="F158" s="16">
        <f>IF(B158="","",INDEX(Prestamos!$D:$D,MATCH(B158,Prestamos!$A:$A,0))-SUMIFS($H$1:H1,$B$1:B1,B158))</f>
        <v/>
      </c>
      <c r="G158" s="16">
        <f>IF(B158="","",F158*INDEX(Prestamos!$E:$E,MATCH(B158,Prestamos!$A:$A,0)))</f>
        <v/>
      </c>
      <c r="H158" s="16">
        <f>IF(B158="","",MAX(0,E158-G158))</f>
        <v/>
      </c>
      <c r="I158" s="16">
        <f>IF(B158="","",F158-H158)</f>
        <v/>
      </c>
    </row>
    <row r="159">
      <c r="A159" s="11">
        <f>IF(B159="","","PG"&amp;TEXT(ROW()-1,"0000"))</f>
        <v/>
      </c>
      <c r="B159" s="12" t="n"/>
      <c r="C159" s="11">
        <f>IF(B159="","",INDEX(Prestamos!$B:$B,MATCH(B159,Prestamos!$A:$A,0)))</f>
        <v/>
      </c>
      <c r="D159" s="13" t="n"/>
      <c r="E159" s="14" t="n"/>
      <c r="F159" s="16">
        <f>IF(B159="","",INDEX(Prestamos!$D:$D,MATCH(B159,Prestamos!$A:$A,0))-SUMIFS($H$1:H1,$B$1:B1,B159))</f>
        <v/>
      </c>
      <c r="G159" s="16">
        <f>IF(B159="","",F159*INDEX(Prestamos!$E:$E,MATCH(B159,Prestamos!$A:$A,0)))</f>
        <v/>
      </c>
      <c r="H159" s="16">
        <f>IF(B159="","",MAX(0,E159-G159))</f>
        <v/>
      </c>
      <c r="I159" s="16">
        <f>IF(B159="","",F159-H159)</f>
        <v/>
      </c>
    </row>
    <row r="160">
      <c r="A160" s="11">
        <f>IF(B160="","","PG"&amp;TEXT(ROW()-1,"0000"))</f>
        <v/>
      </c>
      <c r="B160" s="12" t="n"/>
      <c r="C160" s="11">
        <f>IF(B160="","",INDEX(Prestamos!$B:$B,MATCH(B160,Prestamos!$A:$A,0)))</f>
        <v/>
      </c>
      <c r="D160" s="13" t="n"/>
      <c r="E160" s="14" t="n"/>
      <c r="F160" s="16">
        <f>IF(B160="","",INDEX(Prestamos!$D:$D,MATCH(B160,Prestamos!$A:$A,0))-SUMIFS($H$1:H1,$B$1:B1,B160))</f>
        <v/>
      </c>
      <c r="G160" s="16">
        <f>IF(B160="","",F160*INDEX(Prestamos!$E:$E,MATCH(B160,Prestamos!$A:$A,0)))</f>
        <v/>
      </c>
      <c r="H160" s="16">
        <f>IF(B160="","",MAX(0,E160-G160))</f>
        <v/>
      </c>
      <c r="I160" s="16">
        <f>IF(B160="","",F160-H160)</f>
        <v/>
      </c>
    </row>
    <row r="161">
      <c r="A161" s="11">
        <f>IF(B161="","","PG"&amp;TEXT(ROW()-1,"0000"))</f>
        <v/>
      </c>
      <c r="B161" s="12" t="n"/>
      <c r="C161" s="11">
        <f>IF(B161="","",INDEX(Prestamos!$B:$B,MATCH(B161,Prestamos!$A:$A,0)))</f>
        <v/>
      </c>
      <c r="D161" s="13" t="n"/>
      <c r="E161" s="14" t="n"/>
      <c r="F161" s="16">
        <f>IF(B161="","",INDEX(Prestamos!$D:$D,MATCH(B161,Prestamos!$A:$A,0))-SUMIFS($H$1:H1,$B$1:B1,B161))</f>
        <v/>
      </c>
      <c r="G161" s="16">
        <f>IF(B161="","",F161*INDEX(Prestamos!$E:$E,MATCH(B161,Prestamos!$A:$A,0)))</f>
        <v/>
      </c>
      <c r="H161" s="16">
        <f>IF(B161="","",MAX(0,E161-G161))</f>
        <v/>
      </c>
      <c r="I161" s="16">
        <f>IF(B161="","",F161-H161)</f>
        <v/>
      </c>
    </row>
    <row r="162">
      <c r="A162" s="11">
        <f>IF(B162="","","PG"&amp;TEXT(ROW()-1,"0000"))</f>
        <v/>
      </c>
      <c r="B162" s="12" t="n"/>
      <c r="C162" s="11">
        <f>IF(B162="","",INDEX(Prestamos!$B:$B,MATCH(B162,Prestamos!$A:$A,0)))</f>
        <v/>
      </c>
      <c r="D162" s="13" t="n"/>
      <c r="E162" s="14" t="n"/>
      <c r="F162" s="16">
        <f>IF(B162="","",INDEX(Prestamos!$D:$D,MATCH(B162,Prestamos!$A:$A,0))-SUMIFS($H$1:H1,$B$1:B1,B162))</f>
        <v/>
      </c>
      <c r="G162" s="16">
        <f>IF(B162="","",F162*INDEX(Prestamos!$E:$E,MATCH(B162,Prestamos!$A:$A,0)))</f>
        <v/>
      </c>
      <c r="H162" s="16">
        <f>IF(B162="","",MAX(0,E162-G162))</f>
        <v/>
      </c>
      <c r="I162" s="16">
        <f>IF(B162="","",F162-H162)</f>
        <v/>
      </c>
    </row>
    <row r="163">
      <c r="A163" s="11">
        <f>IF(B163="","","PG"&amp;TEXT(ROW()-1,"0000"))</f>
        <v/>
      </c>
      <c r="B163" s="12" t="n"/>
      <c r="C163" s="11">
        <f>IF(B163="","",INDEX(Prestamos!$B:$B,MATCH(B163,Prestamos!$A:$A,0)))</f>
        <v/>
      </c>
      <c r="D163" s="13" t="n"/>
      <c r="E163" s="14" t="n"/>
      <c r="F163" s="16">
        <f>IF(B163="","",INDEX(Prestamos!$D:$D,MATCH(B163,Prestamos!$A:$A,0))-SUMIFS($H$1:H1,$B$1:B1,B163))</f>
        <v/>
      </c>
      <c r="G163" s="16">
        <f>IF(B163="","",F163*INDEX(Prestamos!$E:$E,MATCH(B163,Prestamos!$A:$A,0)))</f>
        <v/>
      </c>
      <c r="H163" s="16">
        <f>IF(B163="","",MAX(0,E163-G163))</f>
        <v/>
      </c>
      <c r="I163" s="16">
        <f>IF(B163="","",F163-H163)</f>
        <v/>
      </c>
    </row>
    <row r="164">
      <c r="A164" s="11">
        <f>IF(B164="","","PG"&amp;TEXT(ROW()-1,"0000"))</f>
        <v/>
      </c>
      <c r="B164" s="12" t="n"/>
      <c r="C164" s="11">
        <f>IF(B164="","",INDEX(Prestamos!$B:$B,MATCH(B164,Prestamos!$A:$A,0)))</f>
        <v/>
      </c>
      <c r="D164" s="13" t="n"/>
      <c r="E164" s="14" t="n"/>
      <c r="F164" s="16">
        <f>IF(B164="","",INDEX(Prestamos!$D:$D,MATCH(B164,Prestamos!$A:$A,0))-SUMIFS($H$1:H1,$B$1:B1,B164))</f>
        <v/>
      </c>
      <c r="G164" s="16">
        <f>IF(B164="","",F164*INDEX(Prestamos!$E:$E,MATCH(B164,Prestamos!$A:$A,0)))</f>
        <v/>
      </c>
      <c r="H164" s="16">
        <f>IF(B164="","",MAX(0,E164-G164))</f>
        <v/>
      </c>
      <c r="I164" s="16">
        <f>IF(B164="","",F164-H164)</f>
        <v/>
      </c>
    </row>
    <row r="165">
      <c r="A165" s="11">
        <f>IF(B165="","","PG"&amp;TEXT(ROW()-1,"0000"))</f>
        <v/>
      </c>
      <c r="B165" s="12" t="n"/>
      <c r="C165" s="11">
        <f>IF(B165="","",INDEX(Prestamos!$B:$B,MATCH(B165,Prestamos!$A:$A,0)))</f>
        <v/>
      </c>
      <c r="D165" s="13" t="n"/>
      <c r="E165" s="14" t="n"/>
      <c r="F165" s="16">
        <f>IF(B165="","",INDEX(Prestamos!$D:$D,MATCH(B165,Prestamos!$A:$A,0))-SUMIFS($H$1:H1,$B$1:B1,B165))</f>
        <v/>
      </c>
      <c r="G165" s="16">
        <f>IF(B165="","",F165*INDEX(Prestamos!$E:$E,MATCH(B165,Prestamos!$A:$A,0)))</f>
        <v/>
      </c>
      <c r="H165" s="16">
        <f>IF(B165="","",MAX(0,E165-G165))</f>
        <v/>
      </c>
      <c r="I165" s="16">
        <f>IF(B165="","",F165-H165)</f>
        <v/>
      </c>
    </row>
    <row r="166">
      <c r="A166" s="11">
        <f>IF(B166="","","PG"&amp;TEXT(ROW()-1,"0000"))</f>
        <v/>
      </c>
      <c r="B166" s="12" t="n"/>
      <c r="C166" s="11">
        <f>IF(B166="","",INDEX(Prestamos!$B:$B,MATCH(B166,Prestamos!$A:$A,0)))</f>
        <v/>
      </c>
      <c r="D166" s="13" t="n"/>
      <c r="E166" s="14" t="n"/>
      <c r="F166" s="16">
        <f>IF(B166="","",INDEX(Prestamos!$D:$D,MATCH(B166,Prestamos!$A:$A,0))-SUMIFS($H$1:H1,$B$1:B1,B166))</f>
        <v/>
      </c>
      <c r="G166" s="16">
        <f>IF(B166="","",F166*INDEX(Prestamos!$E:$E,MATCH(B166,Prestamos!$A:$A,0)))</f>
        <v/>
      </c>
      <c r="H166" s="16">
        <f>IF(B166="","",MAX(0,E166-G166))</f>
        <v/>
      </c>
      <c r="I166" s="16">
        <f>IF(B166="","",F166-H166)</f>
        <v/>
      </c>
    </row>
    <row r="167">
      <c r="A167" s="11">
        <f>IF(B167="","","PG"&amp;TEXT(ROW()-1,"0000"))</f>
        <v/>
      </c>
      <c r="B167" s="12" t="n"/>
      <c r="C167" s="11">
        <f>IF(B167="","",INDEX(Prestamos!$B:$B,MATCH(B167,Prestamos!$A:$A,0)))</f>
        <v/>
      </c>
      <c r="D167" s="13" t="n"/>
      <c r="E167" s="14" t="n"/>
      <c r="F167" s="16">
        <f>IF(B167="","",INDEX(Prestamos!$D:$D,MATCH(B167,Prestamos!$A:$A,0))-SUMIFS($H$1:H1,$B$1:B1,B167))</f>
        <v/>
      </c>
      <c r="G167" s="16">
        <f>IF(B167="","",F167*INDEX(Prestamos!$E:$E,MATCH(B167,Prestamos!$A:$A,0)))</f>
        <v/>
      </c>
      <c r="H167" s="16">
        <f>IF(B167="","",MAX(0,E167-G167))</f>
        <v/>
      </c>
      <c r="I167" s="16">
        <f>IF(B167="","",F167-H167)</f>
        <v/>
      </c>
    </row>
    <row r="168">
      <c r="A168" s="11">
        <f>IF(B168="","","PG"&amp;TEXT(ROW()-1,"0000"))</f>
        <v/>
      </c>
      <c r="B168" s="12" t="n"/>
      <c r="C168" s="11">
        <f>IF(B168="","",INDEX(Prestamos!$B:$B,MATCH(B168,Prestamos!$A:$A,0)))</f>
        <v/>
      </c>
      <c r="D168" s="13" t="n"/>
      <c r="E168" s="14" t="n"/>
      <c r="F168" s="16">
        <f>IF(B168="","",INDEX(Prestamos!$D:$D,MATCH(B168,Prestamos!$A:$A,0))-SUMIFS($H$1:H1,$B$1:B1,B168))</f>
        <v/>
      </c>
      <c r="G168" s="16">
        <f>IF(B168="","",F168*INDEX(Prestamos!$E:$E,MATCH(B168,Prestamos!$A:$A,0)))</f>
        <v/>
      </c>
      <c r="H168" s="16">
        <f>IF(B168="","",MAX(0,E168-G168))</f>
        <v/>
      </c>
      <c r="I168" s="16">
        <f>IF(B168="","",F168-H168)</f>
        <v/>
      </c>
    </row>
    <row r="169">
      <c r="A169" s="11">
        <f>IF(B169="","","PG"&amp;TEXT(ROW()-1,"0000"))</f>
        <v/>
      </c>
      <c r="B169" s="12" t="n"/>
      <c r="C169" s="11">
        <f>IF(B169="","",INDEX(Prestamos!$B:$B,MATCH(B169,Prestamos!$A:$A,0)))</f>
        <v/>
      </c>
      <c r="D169" s="13" t="n"/>
      <c r="E169" s="14" t="n"/>
      <c r="F169" s="16">
        <f>IF(B169="","",INDEX(Prestamos!$D:$D,MATCH(B169,Prestamos!$A:$A,0))-SUMIFS($H$1:H1,$B$1:B1,B169))</f>
        <v/>
      </c>
      <c r="G169" s="16">
        <f>IF(B169="","",F169*INDEX(Prestamos!$E:$E,MATCH(B169,Prestamos!$A:$A,0)))</f>
        <v/>
      </c>
      <c r="H169" s="16">
        <f>IF(B169="","",MAX(0,E169-G169))</f>
        <v/>
      </c>
      <c r="I169" s="16">
        <f>IF(B169="","",F169-H169)</f>
        <v/>
      </c>
    </row>
    <row r="170">
      <c r="A170" s="11">
        <f>IF(B170="","","PG"&amp;TEXT(ROW()-1,"0000"))</f>
        <v/>
      </c>
      <c r="B170" s="12" t="n"/>
      <c r="C170" s="11">
        <f>IF(B170="","",INDEX(Prestamos!$B:$B,MATCH(B170,Prestamos!$A:$A,0)))</f>
        <v/>
      </c>
      <c r="D170" s="13" t="n"/>
      <c r="E170" s="14" t="n"/>
      <c r="F170" s="16">
        <f>IF(B170="","",INDEX(Prestamos!$D:$D,MATCH(B170,Prestamos!$A:$A,0))-SUMIFS($H$1:H1,$B$1:B1,B170))</f>
        <v/>
      </c>
      <c r="G170" s="16">
        <f>IF(B170="","",F170*INDEX(Prestamos!$E:$E,MATCH(B170,Prestamos!$A:$A,0)))</f>
        <v/>
      </c>
      <c r="H170" s="16">
        <f>IF(B170="","",MAX(0,E170-G170))</f>
        <v/>
      </c>
      <c r="I170" s="16">
        <f>IF(B170="","",F170-H170)</f>
        <v/>
      </c>
    </row>
    <row r="171">
      <c r="A171" s="11">
        <f>IF(B171="","","PG"&amp;TEXT(ROW()-1,"0000"))</f>
        <v/>
      </c>
      <c r="B171" s="12" t="n"/>
      <c r="C171" s="11">
        <f>IF(B171="","",INDEX(Prestamos!$B:$B,MATCH(B171,Prestamos!$A:$A,0)))</f>
        <v/>
      </c>
      <c r="D171" s="13" t="n"/>
      <c r="E171" s="14" t="n"/>
      <c r="F171" s="16">
        <f>IF(B171="","",INDEX(Prestamos!$D:$D,MATCH(B171,Prestamos!$A:$A,0))-SUMIFS($H$1:H1,$B$1:B1,B171))</f>
        <v/>
      </c>
      <c r="G171" s="16">
        <f>IF(B171="","",F171*INDEX(Prestamos!$E:$E,MATCH(B171,Prestamos!$A:$A,0)))</f>
        <v/>
      </c>
      <c r="H171" s="16">
        <f>IF(B171="","",MAX(0,E171-G171))</f>
        <v/>
      </c>
      <c r="I171" s="16">
        <f>IF(B171="","",F171-H171)</f>
        <v/>
      </c>
    </row>
    <row r="172">
      <c r="A172" s="11">
        <f>IF(B172="","","PG"&amp;TEXT(ROW()-1,"0000"))</f>
        <v/>
      </c>
      <c r="B172" s="12" t="n"/>
      <c r="C172" s="11">
        <f>IF(B172="","",INDEX(Prestamos!$B:$B,MATCH(B172,Prestamos!$A:$A,0)))</f>
        <v/>
      </c>
      <c r="D172" s="13" t="n"/>
      <c r="E172" s="14" t="n"/>
      <c r="F172" s="16">
        <f>IF(B172="","",INDEX(Prestamos!$D:$D,MATCH(B172,Prestamos!$A:$A,0))-SUMIFS($H$1:H1,$B$1:B1,B172))</f>
        <v/>
      </c>
      <c r="G172" s="16">
        <f>IF(B172="","",F172*INDEX(Prestamos!$E:$E,MATCH(B172,Prestamos!$A:$A,0)))</f>
        <v/>
      </c>
      <c r="H172" s="16">
        <f>IF(B172="","",MAX(0,E172-G172))</f>
        <v/>
      </c>
      <c r="I172" s="16">
        <f>IF(B172="","",F172-H172)</f>
        <v/>
      </c>
    </row>
    <row r="173">
      <c r="A173" s="11">
        <f>IF(B173="","","PG"&amp;TEXT(ROW()-1,"0000"))</f>
        <v/>
      </c>
      <c r="B173" s="12" t="n"/>
      <c r="C173" s="11">
        <f>IF(B173="","",INDEX(Prestamos!$B:$B,MATCH(B173,Prestamos!$A:$A,0)))</f>
        <v/>
      </c>
      <c r="D173" s="13" t="n"/>
      <c r="E173" s="14" t="n"/>
      <c r="F173" s="16">
        <f>IF(B173="","",INDEX(Prestamos!$D:$D,MATCH(B173,Prestamos!$A:$A,0))-SUMIFS($H$1:H1,$B$1:B1,B173))</f>
        <v/>
      </c>
      <c r="G173" s="16">
        <f>IF(B173="","",F173*INDEX(Prestamos!$E:$E,MATCH(B173,Prestamos!$A:$A,0)))</f>
        <v/>
      </c>
      <c r="H173" s="16">
        <f>IF(B173="","",MAX(0,E173-G173))</f>
        <v/>
      </c>
      <c r="I173" s="16">
        <f>IF(B173="","",F173-H173)</f>
        <v/>
      </c>
    </row>
    <row r="174">
      <c r="A174" s="11">
        <f>IF(B174="","","PG"&amp;TEXT(ROW()-1,"0000"))</f>
        <v/>
      </c>
      <c r="B174" s="12" t="n"/>
      <c r="C174" s="11">
        <f>IF(B174="","",INDEX(Prestamos!$B:$B,MATCH(B174,Prestamos!$A:$A,0)))</f>
        <v/>
      </c>
      <c r="D174" s="13" t="n"/>
      <c r="E174" s="14" t="n"/>
      <c r="F174" s="16">
        <f>IF(B174="","",INDEX(Prestamos!$D:$D,MATCH(B174,Prestamos!$A:$A,0))-SUMIFS($H$1:H1,$B$1:B1,B174))</f>
        <v/>
      </c>
      <c r="G174" s="16">
        <f>IF(B174="","",F174*INDEX(Prestamos!$E:$E,MATCH(B174,Prestamos!$A:$A,0)))</f>
        <v/>
      </c>
      <c r="H174" s="16">
        <f>IF(B174="","",MAX(0,E174-G174))</f>
        <v/>
      </c>
      <c r="I174" s="16">
        <f>IF(B174="","",F174-H174)</f>
        <v/>
      </c>
    </row>
    <row r="175">
      <c r="A175" s="11">
        <f>IF(B175="","","PG"&amp;TEXT(ROW()-1,"0000"))</f>
        <v/>
      </c>
      <c r="B175" s="12" t="n"/>
      <c r="C175" s="11">
        <f>IF(B175="","",INDEX(Prestamos!$B:$B,MATCH(B175,Prestamos!$A:$A,0)))</f>
        <v/>
      </c>
      <c r="D175" s="13" t="n"/>
      <c r="E175" s="14" t="n"/>
      <c r="F175" s="16">
        <f>IF(B175="","",INDEX(Prestamos!$D:$D,MATCH(B175,Prestamos!$A:$A,0))-SUMIFS($H$1:H1,$B$1:B1,B175))</f>
        <v/>
      </c>
      <c r="G175" s="16">
        <f>IF(B175="","",F175*INDEX(Prestamos!$E:$E,MATCH(B175,Prestamos!$A:$A,0)))</f>
        <v/>
      </c>
      <c r="H175" s="16">
        <f>IF(B175="","",MAX(0,E175-G175))</f>
        <v/>
      </c>
      <c r="I175" s="16">
        <f>IF(B175="","",F175-H175)</f>
        <v/>
      </c>
    </row>
    <row r="176">
      <c r="A176" s="11">
        <f>IF(B176="","","PG"&amp;TEXT(ROW()-1,"0000"))</f>
        <v/>
      </c>
      <c r="B176" s="12" t="n"/>
      <c r="C176" s="11">
        <f>IF(B176="","",INDEX(Prestamos!$B:$B,MATCH(B176,Prestamos!$A:$A,0)))</f>
        <v/>
      </c>
      <c r="D176" s="13" t="n"/>
      <c r="E176" s="14" t="n"/>
      <c r="F176" s="16">
        <f>IF(B176="","",INDEX(Prestamos!$D:$D,MATCH(B176,Prestamos!$A:$A,0))-SUMIFS($H$1:H1,$B$1:B1,B176))</f>
        <v/>
      </c>
      <c r="G176" s="16">
        <f>IF(B176="","",F176*INDEX(Prestamos!$E:$E,MATCH(B176,Prestamos!$A:$A,0)))</f>
        <v/>
      </c>
      <c r="H176" s="16">
        <f>IF(B176="","",MAX(0,E176-G176))</f>
        <v/>
      </c>
      <c r="I176" s="16">
        <f>IF(B176="","",F176-H176)</f>
        <v/>
      </c>
    </row>
    <row r="177">
      <c r="A177" s="11">
        <f>IF(B177="","","PG"&amp;TEXT(ROW()-1,"0000"))</f>
        <v/>
      </c>
      <c r="B177" s="12" t="n"/>
      <c r="C177" s="11">
        <f>IF(B177="","",INDEX(Prestamos!$B:$B,MATCH(B177,Prestamos!$A:$A,0)))</f>
        <v/>
      </c>
      <c r="D177" s="13" t="n"/>
      <c r="E177" s="14" t="n"/>
      <c r="F177" s="16">
        <f>IF(B177="","",INDEX(Prestamos!$D:$D,MATCH(B177,Prestamos!$A:$A,0))-SUMIFS($H$1:H1,$B$1:B1,B177))</f>
        <v/>
      </c>
      <c r="G177" s="16">
        <f>IF(B177="","",F177*INDEX(Prestamos!$E:$E,MATCH(B177,Prestamos!$A:$A,0)))</f>
        <v/>
      </c>
      <c r="H177" s="16">
        <f>IF(B177="","",MAX(0,E177-G177))</f>
        <v/>
      </c>
      <c r="I177" s="16">
        <f>IF(B177="","",F177-H177)</f>
        <v/>
      </c>
    </row>
    <row r="178">
      <c r="A178" s="11">
        <f>IF(B178="","","PG"&amp;TEXT(ROW()-1,"0000"))</f>
        <v/>
      </c>
      <c r="B178" s="12" t="n"/>
      <c r="C178" s="11">
        <f>IF(B178="","",INDEX(Prestamos!$B:$B,MATCH(B178,Prestamos!$A:$A,0)))</f>
        <v/>
      </c>
      <c r="D178" s="13" t="n"/>
      <c r="E178" s="14" t="n"/>
      <c r="F178" s="16">
        <f>IF(B178="","",INDEX(Prestamos!$D:$D,MATCH(B178,Prestamos!$A:$A,0))-SUMIFS($H$1:H1,$B$1:B1,B178))</f>
        <v/>
      </c>
      <c r="G178" s="16">
        <f>IF(B178="","",F178*INDEX(Prestamos!$E:$E,MATCH(B178,Prestamos!$A:$A,0)))</f>
        <v/>
      </c>
      <c r="H178" s="16">
        <f>IF(B178="","",MAX(0,E178-G178))</f>
        <v/>
      </c>
      <c r="I178" s="16">
        <f>IF(B178="","",F178-H178)</f>
        <v/>
      </c>
    </row>
    <row r="179">
      <c r="A179" s="11">
        <f>IF(B179="","","PG"&amp;TEXT(ROW()-1,"0000"))</f>
        <v/>
      </c>
      <c r="B179" s="12" t="n"/>
      <c r="C179" s="11">
        <f>IF(B179="","",INDEX(Prestamos!$B:$B,MATCH(B179,Prestamos!$A:$A,0)))</f>
        <v/>
      </c>
      <c r="D179" s="13" t="n"/>
      <c r="E179" s="14" t="n"/>
      <c r="F179" s="16">
        <f>IF(B179="","",INDEX(Prestamos!$D:$D,MATCH(B179,Prestamos!$A:$A,0))-SUMIFS($H$1:H1,$B$1:B1,B179))</f>
        <v/>
      </c>
      <c r="G179" s="16">
        <f>IF(B179="","",F179*INDEX(Prestamos!$E:$E,MATCH(B179,Prestamos!$A:$A,0)))</f>
        <v/>
      </c>
      <c r="H179" s="16">
        <f>IF(B179="","",MAX(0,E179-G179))</f>
        <v/>
      </c>
      <c r="I179" s="16">
        <f>IF(B179="","",F179-H179)</f>
        <v/>
      </c>
    </row>
    <row r="180">
      <c r="A180" s="11">
        <f>IF(B180="","","PG"&amp;TEXT(ROW()-1,"0000"))</f>
        <v/>
      </c>
      <c r="B180" s="12" t="n"/>
      <c r="C180" s="11">
        <f>IF(B180="","",INDEX(Prestamos!$B:$B,MATCH(B180,Prestamos!$A:$A,0)))</f>
        <v/>
      </c>
      <c r="D180" s="13" t="n"/>
      <c r="E180" s="14" t="n"/>
      <c r="F180" s="16">
        <f>IF(B180="","",INDEX(Prestamos!$D:$D,MATCH(B180,Prestamos!$A:$A,0))-SUMIFS($H$1:H1,$B$1:B1,B180))</f>
        <v/>
      </c>
      <c r="G180" s="16">
        <f>IF(B180="","",F180*INDEX(Prestamos!$E:$E,MATCH(B180,Prestamos!$A:$A,0)))</f>
        <v/>
      </c>
      <c r="H180" s="16">
        <f>IF(B180="","",MAX(0,E180-G180))</f>
        <v/>
      </c>
      <c r="I180" s="16">
        <f>IF(B180="","",F180-H180)</f>
        <v/>
      </c>
    </row>
    <row r="181">
      <c r="A181" s="11">
        <f>IF(B181="","","PG"&amp;TEXT(ROW()-1,"0000"))</f>
        <v/>
      </c>
      <c r="B181" s="12" t="n"/>
      <c r="C181" s="11">
        <f>IF(B181="","",INDEX(Prestamos!$B:$B,MATCH(B181,Prestamos!$A:$A,0)))</f>
        <v/>
      </c>
      <c r="D181" s="13" t="n"/>
      <c r="E181" s="14" t="n"/>
      <c r="F181" s="16">
        <f>IF(B181="","",INDEX(Prestamos!$D:$D,MATCH(B181,Prestamos!$A:$A,0))-SUMIFS($H$1:H1,$B$1:B1,B181))</f>
        <v/>
      </c>
      <c r="G181" s="16">
        <f>IF(B181="","",F181*INDEX(Prestamos!$E:$E,MATCH(B181,Prestamos!$A:$A,0)))</f>
        <v/>
      </c>
      <c r="H181" s="16">
        <f>IF(B181="","",MAX(0,E181-G181))</f>
        <v/>
      </c>
      <c r="I181" s="16">
        <f>IF(B181="","",F181-H181)</f>
        <v/>
      </c>
    </row>
    <row r="182">
      <c r="A182" s="11">
        <f>IF(B182="","","PG"&amp;TEXT(ROW()-1,"0000"))</f>
        <v/>
      </c>
      <c r="B182" s="12" t="n"/>
      <c r="C182" s="11">
        <f>IF(B182="","",INDEX(Prestamos!$B:$B,MATCH(B182,Prestamos!$A:$A,0)))</f>
        <v/>
      </c>
      <c r="D182" s="13" t="n"/>
      <c r="E182" s="14" t="n"/>
      <c r="F182" s="16">
        <f>IF(B182="","",INDEX(Prestamos!$D:$D,MATCH(B182,Prestamos!$A:$A,0))-SUMIFS($H$1:H1,$B$1:B1,B182))</f>
        <v/>
      </c>
      <c r="G182" s="16">
        <f>IF(B182="","",F182*INDEX(Prestamos!$E:$E,MATCH(B182,Prestamos!$A:$A,0)))</f>
        <v/>
      </c>
      <c r="H182" s="16">
        <f>IF(B182="","",MAX(0,E182-G182))</f>
        <v/>
      </c>
      <c r="I182" s="16">
        <f>IF(B182="","",F182-H182)</f>
        <v/>
      </c>
    </row>
    <row r="183">
      <c r="A183" s="11">
        <f>IF(B183="","","PG"&amp;TEXT(ROW()-1,"0000"))</f>
        <v/>
      </c>
      <c r="B183" s="12" t="n"/>
      <c r="C183" s="11">
        <f>IF(B183="","",INDEX(Prestamos!$B:$B,MATCH(B183,Prestamos!$A:$A,0)))</f>
        <v/>
      </c>
      <c r="D183" s="13" t="n"/>
      <c r="E183" s="14" t="n"/>
      <c r="F183" s="16">
        <f>IF(B183="","",INDEX(Prestamos!$D:$D,MATCH(B183,Prestamos!$A:$A,0))-SUMIFS($H$1:H1,$B$1:B1,B183))</f>
        <v/>
      </c>
      <c r="G183" s="16">
        <f>IF(B183="","",F183*INDEX(Prestamos!$E:$E,MATCH(B183,Prestamos!$A:$A,0)))</f>
        <v/>
      </c>
      <c r="H183" s="16">
        <f>IF(B183="","",MAX(0,E183-G183))</f>
        <v/>
      </c>
      <c r="I183" s="16">
        <f>IF(B183="","",F183-H183)</f>
        <v/>
      </c>
    </row>
    <row r="184">
      <c r="A184" s="11">
        <f>IF(B184="","","PG"&amp;TEXT(ROW()-1,"0000"))</f>
        <v/>
      </c>
      <c r="B184" s="12" t="n"/>
      <c r="C184" s="11">
        <f>IF(B184="","",INDEX(Prestamos!$B:$B,MATCH(B184,Prestamos!$A:$A,0)))</f>
        <v/>
      </c>
      <c r="D184" s="13" t="n"/>
      <c r="E184" s="14" t="n"/>
      <c r="F184" s="16">
        <f>IF(B184="","",INDEX(Prestamos!$D:$D,MATCH(B184,Prestamos!$A:$A,0))-SUMIFS($H$1:H1,$B$1:B1,B184))</f>
        <v/>
      </c>
      <c r="G184" s="16">
        <f>IF(B184="","",F184*INDEX(Prestamos!$E:$E,MATCH(B184,Prestamos!$A:$A,0)))</f>
        <v/>
      </c>
      <c r="H184" s="16">
        <f>IF(B184="","",MAX(0,E184-G184))</f>
        <v/>
      </c>
      <c r="I184" s="16">
        <f>IF(B184="","",F184-H184)</f>
        <v/>
      </c>
    </row>
    <row r="185">
      <c r="A185" s="11">
        <f>IF(B185="","","PG"&amp;TEXT(ROW()-1,"0000"))</f>
        <v/>
      </c>
      <c r="B185" s="12" t="n"/>
      <c r="C185" s="11">
        <f>IF(B185="","",INDEX(Prestamos!$B:$B,MATCH(B185,Prestamos!$A:$A,0)))</f>
        <v/>
      </c>
      <c r="D185" s="13" t="n"/>
      <c r="E185" s="14" t="n"/>
      <c r="F185" s="16">
        <f>IF(B185="","",INDEX(Prestamos!$D:$D,MATCH(B185,Prestamos!$A:$A,0))-SUMIFS($H$1:H1,$B$1:B1,B185))</f>
        <v/>
      </c>
      <c r="G185" s="16">
        <f>IF(B185="","",F185*INDEX(Prestamos!$E:$E,MATCH(B185,Prestamos!$A:$A,0)))</f>
        <v/>
      </c>
      <c r="H185" s="16">
        <f>IF(B185="","",MAX(0,E185-G185))</f>
        <v/>
      </c>
      <c r="I185" s="16">
        <f>IF(B185="","",F185-H185)</f>
        <v/>
      </c>
    </row>
    <row r="186">
      <c r="A186" s="11">
        <f>IF(B186="","","PG"&amp;TEXT(ROW()-1,"0000"))</f>
        <v/>
      </c>
      <c r="B186" s="12" t="n"/>
      <c r="C186" s="11">
        <f>IF(B186="","",INDEX(Prestamos!$B:$B,MATCH(B186,Prestamos!$A:$A,0)))</f>
        <v/>
      </c>
      <c r="D186" s="13" t="n"/>
      <c r="E186" s="14" t="n"/>
      <c r="F186" s="16">
        <f>IF(B186="","",INDEX(Prestamos!$D:$D,MATCH(B186,Prestamos!$A:$A,0))-SUMIFS($H$1:H1,$B$1:B1,B186))</f>
        <v/>
      </c>
      <c r="G186" s="16">
        <f>IF(B186="","",F186*INDEX(Prestamos!$E:$E,MATCH(B186,Prestamos!$A:$A,0)))</f>
        <v/>
      </c>
      <c r="H186" s="16">
        <f>IF(B186="","",MAX(0,E186-G186))</f>
        <v/>
      </c>
      <c r="I186" s="16">
        <f>IF(B186="","",F186-H186)</f>
        <v/>
      </c>
    </row>
    <row r="187">
      <c r="A187" s="11">
        <f>IF(B187="","","PG"&amp;TEXT(ROW()-1,"0000"))</f>
        <v/>
      </c>
      <c r="B187" s="12" t="n"/>
      <c r="C187" s="11">
        <f>IF(B187="","",INDEX(Prestamos!$B:$B,MATCH(B187,Prestamos!$A:$A,0)))</f>
        <v/>
      </c>
      <c r="D187" s="13" t="n"/>
      <c r="E187" s="14" t="n"/>
      <c r="F187" s="16">
        <f>IF(B187="","",INDEX(Prestamos!$D:$D,MATCH(B187,Prestamos!$A:$A,0))-SUMIFS($H$1:H1,$B$1:B1,B187))</f>
        <v/>
      </c>
      <c r="G187" s="16">
        <f>IF(B187="","",F187*INDEX(Prestamos!$E:$E,MATCH(B187,Prestamos!$A:$A,0)))</f>
        <v/>
      </c>
      <c r="H187" s="16">
        <f>IF(B187="","",MAX(0,E187-G187))</f>
        <v/>
      </c>
      <c r="I187" s="16">
        <f>IF(B187="","",F187-H187)</f>
        <v/>
      </c>
    </row>
    <row r="188">
      <c r="A188" s="11">
        <f>IF(B188="","","PG"&amp;TEXT(ROW()-1,"0000"))</f>
        <v/>
      </c>
      <c r="B188" s="12" t="n"/>
      <c r="C188" s="11">
        <f>IF(B188="","",INDEX(Prestamos!$B:$B,MATCH(B188,Prestamos!$A:$A,0)))</f>
        <v/>
      </c>
      <c r="D188" s="13" t="n"/>
      <c r="E188" s="14" t="n"/>
      <c r="F188" s="16">
        <f>IF(B188="","",INDEX(Prestamos!$D:$D,MATCH(B188,Prestamos!$A:$A,0))-SUMIFS($H$1:H1,$B$1:B1,B188))</f>
        <v/>
      </c>
      <c r="G188" s="16">
        <f>IF(B188="","",F188*INDEX(Prestamos!$E:$E,MATCH(B188,Prestamos!$A:$A,0)))</f>
        <v/>
      </c>
      <c r="H188" s="16">
        <f>IF(B188="","",MAX(0,E188-G188))</f>
        <v/>
      </c>
      <c r="I188" s="16">
        <f>IF(B188="","",F188-H188)</f>
        <v/>
      </c>
    </row>
    <row r="189">
      <c r="A189" s="11">
        <f>IF(B189="","","PG"&amp;TEXT(ROW()-1,"0000"))</f>
        <v/>
      </c>
      <c r="B189" s="12" t="n"/>
      <c r="C189" s="11">
        <f>IF(B189="","",INDEX(Prestamos!$B:$B,MATCH(B189,Prestamos!$A:$A,0)))</f>
        <v/>
      </c>
      <c r="D189" s="13" t="n"/>
      <c r="E189" s="14" t="n"/>
      <c r="F189" s="16">
        <f>IF(B189="","",INDEX(Prestamos!$D:$D,MATCH(B189,Prestamos!$A:$A,0))-SUMIFS($H$1:H1,$B$1:B1,B189))</f>
        <v/>
      </c>
      <c r="G189" s="16">
        <f>IF(B189="","",F189*INDEX(Prestamos!$E:$E,MATCH(B189,Prestamos!$A:$A,0)))</f>
        <v/>
      </c>
      <c r="H189" s="16">
        <f>IF(B189="","",MAX(0,E189-G189))</f>
        <v/>
      </c>
      <c r="I189" s="16">
        <f>IF(B189="","",F189-H189)</f>
        <v/>
      </c>
    </row>
    <row r="190">
      <c r="A190" s="11">
        <f>IF(B190="","","PG"&amp;TEXT(ROW()-1,"0000"))</f>
        <v/>
      </c>
      <c r="B190" s="12" t="n"/>
      <c r="C190" s="11">
        <f>IF(B190="","",INDEX(Prestamos!$B:$B,MATCH(B190,Prestamos!$A:$A,0)))</f>
        <v/>
      </c>
      <c r="D190" s="13" t="n"/>
      <c r="E190" s="14" t="n"/>
      <c r="F190" s="16">
        <f>IF(B190="","",INDEX(Prestamos!$D:$D,MATCH(B190,Prestamos!$A:$A,0))-SUMIFS($H$1:H1,$B$1:B1,B190))</f>
        <v/>
      </c>
      <c r="G190" s="16">
        <f>IF(B190="","",F190*INDEX(Prestamos!$E:$E,MATCH(B190,Prestamos!$A:$A,0)))</f>
        <v/>
      </c>
      <c r="H190" s="16">
        <f>IF(B190="","",MAX(0,E190-G190))</f>
        <v/>
      </c>
      <c r="I190" s="16">
        <f>IF(B190="","",F190-H190)</f>
        <v/>
      </c>
    </row>
    <row r="191">
      <c r="A191" s="11">
        <f>IF(B191="","","PG"&amp;TEXT(ROW()-1,"0000"))</f>
        <v/>
      </c>
      <c r="B191" s="12" t="n"/>
      <c r="C191" s="11">
        <f>IF(B191="","",INDEX(Prestamos!$B:$B,MATCH(B191,Prestamos!$A:$A,0)))</f>
        <v/>
      </c>
      <c r="D191" s="13" t="n"/>
      <c r="E191" s="14" t="n"/>
      <c r="F191" s="16">
        <f>IF(B191="","",INDEX(Prestamos!$D:$D,MATCH(B191,Prestamos!$A:$A,0))-SUMIFS($H$1:H1,$B$1:B1,B191))</f>
        <v/>
      </c>
      <c r="G191" s="16">
        <f>IF(B191="","",F191*INDEX(Prestamos!$E:$E,MATCH(B191,Prestamos!$A:$A,0)))</f>
        <v/>
      </c>
      <c r="H191" s="16">
        <f>IF(B191="","",MAX(0,E191-G191))</f>
        <v/>
      </c>
      <c r="I191" s="16">
        <f>IF(B191="","",F191-H191)</f>
        <v/>
      </c>
    </row>
    <row r="192">
      <c r="A192" s="11">
        <f>IF(B192="","","PG"&amp;TEXT(ROW()-1,"0000"))</f>
        <v/>
      </c>
      <c r="B192" s="12" t="n"/>
      <c r="C192" s="11">
        <f>IF(B192="","",INDEX(Prestamos!$B:$B,MATCH(B192,Prestamos!$A:$A,0)))</f>
        <v/>
      </c>
      <c r="D192" s="13" t="n"/>
      <c r="E192" s="14" t="n"/>
      <c r="F192" s="16">
        <f>IF(B192="","",INDEX(Prestamos!$D:$D,MATCH(B192,Prestamos!$A:$A,0))-SUMIFS($H$1:H1,$B$1:B1,B192))</f>
        <v/>
      </c>
      <c r="G192" s="16">
        <f>IF(B192="","",F192*INDEX(Prestamos!$E:$E,MATCH(B192,Prestamos!$A:$A,0)))</f>
        <v/>
      </c>
      <c r="H192" s="16">
        <f>IF(B192="","",MAX(0,E192-G192))</f>
        <v/>
      </c>
      <c r="I192" s="16">
        <f>IF(B192="","",F192-H192)</f>
        <v/>
      </c>
    </row>
    <row r="193">
      <c r="A193" s="11">
        <f>IF(B193="","","PG"&amp;TEXT(ROW()-1,"0000"))</f>
        <v/>
      </c>
      <c r="B193" s="12" t="n"/>
      <c r="C193" s="11">
        <f>IF(B193="","",INDEX(Prestamos!$B:$B,MATCH(B193,Prestamos!$A:$A,0)))</f>
        <v/>
      </c>
      <c r="D193" s="13" t="n"/>
      <c r="E193" s="14" t="n"/>
      <c r="F193" s="16">
        <f>IF(B193="","",INDEX(Prestamos!$D:$D,MATCH(B193,Prestamos!$A:$A,0))-SUMIFS($H$1:H1,$B$1:B1,B193))</f>
        <v/>
      </c>
      <c r="G193" s="16">
        <f>IF(B193="","",F193*INDEX(Prestamos!$E:$E,MATCH(B193,Prestamos!$A:$A,0)))</f>
        <v/>
      </c>
      <c r="H193" s="16">
        <f>IF(B193="","",MAX(0,E193-G193))</f>
        <v/>
      </c>
      <c r="I193" s="16">
        <f>IF(B193="","",F193-H193)</f>
        <v/>
      </c>
    </row>
    <row r="194">
      <c r="A194" s="11">
        <f>IF(B194="","","PG"&amp;TEXT(ROW()-1,"0000"))</f>
        <v/>
      </c>
      <c r="B194" s="12" t="n"/>
      <c r="C194" s="11">
        <f>IF(B194="","",INDEX(Prestamos!$B:$B,MATCH(B194,Prestamos!$A:$A,0)))</f>
        <v/>
      </c>
      <c r="D194" s="13" t="n"/>
      <c r="E194" s="14" t="n"/>
      <c r="F194" s="16">
        <f>IF(B194="","",INDEX(Prestamos!$D:$D,MATCH(B194,Prestamos!$A:$A,0))-SUMIFS($H$1:H1,$B$1:B1,B194))</f>
        <v/>
      </c>
      <c r="G194" s="16">
        <f>IF(B194="","",F194*INDEX(Prestamos!$E:$E,MATCH(B194,Prestamos!$A:$A,0)))</f>
        <v/>
      </c>
      <c r="H194" s="16">
        <f>IF(B194="","",MAX(0,E194-G194))</f>
        <v/>
      </c>
      <c r="I194" s="16">
        <f>IF(B194="","",F194-H194)</f>
        <v/>
      </c>
    </row>
    <row r="195">
      <c r="A195" s="11">
        <f>IF(B195="","","PG"&amp;TEXT(ROW()-1,"0000"))</f>
        <v/>
      </c>
      <c r="B195" s="12" t="n"/>
      <c r="C195" s="11">
        <f>IF(B195="","",INDEX(Prestamos!$B:$B,MATCH(B195,Prestamos!$A:$A,0)))</f>
        <v/>
      </c>
      <c r="D195" s="13" t="n"/>
      <c r="E195" s="14" t="n"/>
      <c r="F195" s="16">
        <f>IF(B195="","",INDEX(Prestamos!$D:$D,MATCH(B195,Prestamos!$A:$A,0))-SUMIFS($H$1:H1,$B$1:B1,B195))</f>
        <v/>
      </c>
      <c r="G195" s="16">
        <f>IF(B195="","",F195*INDEX(Prestamos!$E:$E,MATCH(B195,Prestamos!$A:$A,0)))</f>
        <v/>
      </c>
      <c r="H195" s="16">
        <f>IF(B195="","",MAX(0,E195-G195))</f>
        <v/>
      </c>
      <c r="I195" s="16">
        <f>IF(B195="","",F195-H195)</f>
        <v/>
      </c>
    </row>
    <row r="196">
      <c r="A196" s="11">
        <f>IF(B196="","","PG"&amp;TEXT(ROW()-1,"0000"))</f>
        <v/>
      </c>
      <c r="B196" s="12" t="n"/>
      <c r="C196" s="11">
        <f>IF(B196="","",INDEX(Prestamos!$B:$B,MATCH(B196,Prestamos!$A:$A,0)))</f>
        <v/>
      </c>
      <c r="D196" s="13" t="n"/>
      <c r="E196" s="14" t="n"/>
      <c r="F196" s="16">
        <f>IF(B196="","",INDEX(Prestamos!$D:$D,MATCH(B196,Prestamos!$A:$A,0))-SUMIFS($H$1:H1,$B$1:B1,B196))</f>
        <v/>
      </c>
      <c r="G196" s="16">
        <f>IF(B196="","",F196*INDEX(Prestamos!$E:$E,MATCH(B196,Prestamos!$A:$A,0)))</f>
        <v/>
      </c>
      <c r="H196" s="16">
        <f>IF(B196="","",MAX(0,E196-G196))</f>
        <v/>
      </c>
      <c r="I196" s="16">
        <f>IF(B196="","",F196-H196)</f>
        <v/>
      </c>
    </row>
    <row r="197">
      <c r="A197" s="11">
        <f>IF(B197="","","PG"&amp;TEXT(ROW()-1,"0000"))</f>
        <v/>
      </c>
      <c r="B197" s="12" t="n"/>
      <c r="C197" s="11">
        <f>IF(B197="","",INDEX(Prestamos!$B:$B,MATCH(B197,Prestamos!$A:$A,0)))</f>
        <v/>
      </c>
      <c r="D197" s="13" t="n"/>
      <c r="E197" s="14" t="n"/>
      <c r="F197" s="16">
        <f>IF(B197="","",INDEX(Prestamos!$D:$D,MATCH(B197,Prestamos!$A:$A,0))-SUMIFS($H$1:H1,$B$1:B1,B197))</f>
        <v/>
      </c>
      <c r="G197" s="16">
        <f>IF(B197="","",F197*INDEX(Prestamos!$E:$E,MATCH(B197,Prestamos!$A:$A,0)))</f>
        <v/>
      </c>
      <c r="H197" s="16">
        <f>IF(B197="","",MAX(0,E197-G197))</f>
        <v/>
      </c>
      <c r="I197" s="16">
        <f>IF(B197="","",F197-H197)</f>
        <v/>
      </c>
    </row>
    <row r="198">
      <c r="A198" s="11">
        <f>IF(B198="","","PG"&amp;TEXT(ROW()-1,"0000"))</f>
        <v/>
      </c>
      <c r="B198" s="12" t="n"/>
      <c r="C198" s="11">
        <f>IF(B198="","",INDEX(Prestamos!$B:$B,MATCH(B198,Prestamos!$A:$A,0)))</f>
        <v/>
      </c>
      <c r="D198" s="13" t="n"/>
      <c r="E198" s="14" t="n"/>
      <c r="F198" s="16">
        <f>IF(B198="","",INDEX(Prestamos!$D:$D,MATCH(B198,Prestamos!$A:$A,0))-SUMIFS($H$1:H1,$B$1:B1,B198))</f>
        <v/>
      </c>
      <c r="G198" s="16">
        <f>IF(B198="","",F198*INDEX(Prestamos!$E:$E,MATCH(B198,Prestamos!$A:$A,0)))</f>
        <v/>
      </c>
      <c r="H198" s="16">
        <f>IF(B198="","",MAX(0,E198-G198))</f>
        <v/>
      </c>
      <c r="I198" s="16">
        <f>IF(B198="","",F198-H198)</f>
        <v/>
      </c>
    </row>
    <row r="199">
      <c r="A199" s="11">
        <f>IF(B199="","","PG"&amp;TEXT(ROW()-1,"0000"))</f>
        <v/>
      </c>
      <c r="B199" s="12" t="n"/>
      <c r="C199" s="11">
        <f>IF(B199="","",INDEX(Prestamos!$B:$B,MATCH(B199,Prestamos!$A:$A,0)))</f>
        <v/>
      </c>
      <c r="D199" s="13" t="n"/>
      <c r="E199" s="14" t="n"/>
      <c r="F199" s="16">
        <f>IF(B199="","",INDEX(Prestamos!$D:$D,MATCH(B199,Prestamos!$A:$A,0))-SUMIFS($H$1:H1,$B$1:B1,B199))</f>
        <v/>
      </c>
      <c r="G199" s="16">
        <f>IF(B199="","",F199*INDEX(Prestamos!$E:$E,MATCH(B199,Prestamos!$A:$A,0)))</f>
        <v/>
      </c>
      <c r="H199" s="16">
        <f>IF(B199="","",MAX(0,E199-G199))</f>
        <v/>
      </c>
      <c r="I199" s="16">
        <f>IF(B199="","",F199-H199)</f>
        <v/>
      </c>
    </row>
    <row r="200">
      <c r="A200" s="11">
        <f>IF(B200="","","PG"&amp;TEXT(ROW()-1,"0000"))</f>
        <v/>
      </c>
      <c r="B200" s="12" t="n"/>
      <c r="C200" s="11">
        <f>IF(B200="","",INDEX(Prestamos!$B:$B,MATCH(B200,Prestamos!$A:$A,0)))</f>
        <v/>
      </c>
      <c r="D200" s="13" t="n"/>
      <c r="E200" s="14" t="n"/>
      <c r="F200" s="16">
        <f>IF(B200="","",INDEX(Prestamos!$D:$D,MATCH(B200,Prestamos!$A:$A,0))-SUMIFS($H$1:H1,$B$1:B1,B200))</f>
        <v/>
      </c>
      <c r="G200" s="16">
        <f>IF(B200="","",F200*INDEX(Prestamos!$E:$E,MATCH(B200,Prestamos!$A:$A,0)))</f>
        <v/>
      </c>
      <c r="H200" s="16">
        <f>IF(B200="","",MAX(0,E200-G200))</f>
        <v/>
      </c>
      <c r="I200" s="16">
        <f>IF(B200="","",F200-H200)</f>
        <v/>
      </c>
    </row>
    <row r="201">
      <c r="A201" s="11">
        <f>IF(B201="","","PG"&amp;TEXT(ROW()-1,"0000"))</f>
        <v/>
      </c>
      <c r="B201" s="12" t="n"/>
      <c r="C201" s="11">
        <f>IF(B201="","",INDEX(Prestamos!$B:$B,MATCH(B201,Prestamos!$A:$A,0)))</f>
        <v/>
      </c>
      <c r="D201" s="13" t="n"/>
      <c r="E201" s="14" t="n"/>
      <c r="F201" s="16">
        <f>IF(B201="","",INDEX(Prestamos!$D:$D,MATCH(B201,Prestamos!$A:$A,0))-SUMIFS($H$1:H1,$B$1:B1,B201))</f>
        <v/>
      </c>
      <c r="G201" s="16">
        <f>IF(B201="","",F201*INDEX(Prestamos!$E:$E,MATCH(B201,Prestamos!$A:$A,0)))</f>
        <v/>
      </c>
      <c r="H201" s="16">
        <f>IF(B201="","",MAX(0,E201-G201))</f>
        <v/>
      </c>
      <c r="I201" s="16">
        <f>IF(B201="","",F201-H201)</f>
        <v/>
      </c>
    </row>
    <row r="202">
      <c r="A202" s="11">
        <f>IF(B202="","","PG"&amp;TEXT(ROW()-1,"0000"))</f>
        <v/>
      </c>
      <c r="B202" s="12" t="n"/>
      <c r="C202" s="11">
        <f>IF(B202="","",INDEX(Prestamos!$B:$B,MATCH(B202,Prestamos!$A:$A,0)))</f>
        <v/>
      </c>
      <c r="D202" s="13" t="n"/>
      <c r="E202" s="14" t="n"/>
      <c r="F202" s="16">
        <f>IF(B202="","",INDEX(Prestamos!$D:$D,MATCH(B202,Prestamos!$A:$A,0))-SUMIFS($H$1:H1,$B$1:B1,B202))</f>
        <v/>
      </c>
      <c r="G202" s="16">
        <f>IF(B202="","",F202*INDEX(Prestamos!$E:$E,MATCH(B202,Prestamos!$A:$A,0)))</f>
        <v/>
      </c>
      <c r="H202" s="16">
        <f>IF(B202="","",MAX(0,E202-G202))</f>
        <v/>
      </c>
      <c r="I202" s="16">
        <f>IF(B202="","",F202-H202)</f>
        <v/>
      </c>
    </row>
    <row r="203">
      <c r="A203" s="11">
        <f>IF(B203="","","PG"&amp;TEXT(ROW()-1,"0000"))</f>
        <v/>
      </c>
      <c r="B203" s="12" t="n"/>
      <c r="C203" s="11">
        <f>IF(B203="","",INDEX(Prestamos!$B:$B,MATCH(B203,Prestamos!$A:$A,0)))</f>
        <v/>
      </c>
      <c r="D203" s="13" t="n"/>
      <c r="E203" s="14" t="n"/>
      <c r="F203" s="16">
        <f>IF(B203="","",INDEX(Prestamos!$D:$D,MATCH(B203,Prestamos!$A:$A,0))-SUMIFS($H$1:H1,$B$1:B1,B203))</f>
        <v/>
      </c>
      <c r="G203" s="16">
        <f>IF(B203="","",F203*INDEX(Prestamos!$E:$E,MATCH(B203,Prestamos!$A:$A,0)))</f>
        <v/>
      </c>
      <c r="H203" s="16">
        <f>IF(B203="","",MAX(0,E203-G203))</f>
        <v/>
      </c>
      <c r="I203" s="16">
        <f>IF(B203="","",F203-H203)</f>
        <v/>
      </c>
    </row>
    <row r="204">
      <c r="A204" s="11">
        <f>IF(B204="","","PG"&amp;TEXT(ROW()-1,"0000"))</f>
        <v/>
      </c>
      <c r="B204" s="12" t="n"/>
      <c r="C204" s="11">
        <f>IF(B204="","",INDEX(Prestamos!$B:$B,MATCH(B204,Prestamos!$A:$A,0)))</f>
        <v/>
      </c>
      <c r="D204" s="13" t="n"/>
      <c r="E204" s="14" t="n"/>
      <c r="F204" s="16">
        <f>IF(B204="","",INDEX(Prestamos!$D:$D,MATCH(B204,Prestamos!$A:$A,0))-SUMIFS($H$1:H1,$B$1:B1,B204))</f>
        <v/>
      </c>
      <c r="G204" s="16">
        <f>IF(B204="","",F204*INDEX(Prestamos!$E:$E,MATCH(B204,Prestamos!$A:$A,0)))</f>
        <v/>
      </c>
      <c r="H204" s="16">
        <f>IF(B204="","",MAX(0,E204-G204))</f>
        <v/>
      </c>
      <c r="I204" s="16">
        <f>IF(B204="","",F204-H204)</f>
        <v/>
      </c>
    </row>
    <row r="205">
      <c r="A205" s="11">
        <f>IF(B205="","","PG"&amp;TEXT(ROW()-1,"0000"))</f>
        <v/>
      </c>
      <c r="B205" s="12" t="n"/>
      <c r="C205" s="11">
        <f>IF(B205="","",INDEX(Prestamos!$B:$B,MATCH(B205,Prestamos!$A:$A,0)))</f>
        <v/>
      </c>
      <c r="D205" s="13" t="n"/>
      <c r="E205" s="14" t="n"/>
      <c r="F205" s="16">
        <f>IF(B205="","",INDEX(Prestamos!$D:$D,MATCH(B205,Prestamos!$A:$A,0))-SUMIFS($H$1:H1,$B$1:B1,B205))</f>
        <v/>
      </c>
      <c r="G205" s="16">
        <f>IF(B205="","",F205*INDEX(Prestamos!$E:$E,MATCH(B205,Prestamos!$A:$A,0)))</f>
        <v/>
      </c>
      <c r="H205" s="16">
        <f>IF(B205="","",MAX(0,E205-G205))</f>
        <v/>
      </c>
      <c r="I205" s="16">
        <f>IF(B205="","",F205-H205)</f>
        <v/>
      </c>
    </row>
    <row r="206">
      <c r="A206" s="11">
        <f>IF(B206="","","PG"&amp;TEXT(ROW()-1,"0000"))</f>
        <v/>
      </c>
      <c r="B206" s="12" t="n"/>
      <c r="C206" s="11">
        <f>IF(B206="","",INDEX(Prestamos!$B:$B,MATCH(B206,Prestamos!$A:$A,0)))</f>
        <v/>
      </c>
      <c r="D206" s="13" t="n"/>
      <c r="E206" s="14" t="n"/>
      <c r="F206" s="16">
        <f>IF(B206="","",INDEX(Prestamos!$D:$D,MATCH(B206,Prestamos!$A:$A,0))-SUMIFS($H$1:H1,$B$1:B1,B206))</f>
        <v/>
      </c>
      <c r="G206" s="16">
        <f>IF(B206="","",F206*INDEX(Prestamos!$E:$E,MATCH(B206,Prestamos!$A:$A,0)))</f>
        <v/>
      </c>
      <c r="H206" s="16">
        <f>IF(B206="","",MAX(0,E206-G206))</f>
        <v/>
      </c>
      <c r="I206" s="16">
        <f>IF(B206="","",F206-H206)</f>
        <v/>
      </c>
    </row>
    <row r="207">
      <c r="A207" s="11">
        <f>IF(B207="","","PG"&amp;TEXT(ROW()-1,"0000"))</f>
        <v/>
      </c>
      <c r="B207" s="12" t="n"/>
      <c r="C207" s="11">
        <f>IF(B207="","",INDEX(Prestamos!$B:$B,MATCH(B207,Prestamos!$A:$A,0)))</f>
        <v/>
      </c>
      <c r="D207" s="13" t="n"/>
      <c r="E207" s="14" t="n"/>
      <c r="F207" s="16">
        <f>IF(B207="","",INDEX(Prestamos!$D:$D,MATCH(B207,Prestamos!$A:$A,0))-SUMIFS($H$1:H1,$B$1:B1,B207))</f>
        <v/>
      </c>
      <c r="G207" s="16">
        <f>IF(B207="","",F207*INDEX(Prestamos!$E:$E,MATCH(B207,Prestamos!$A:$A,0)))</f>
        <v/>
      </c>
      <c r="H207" s="16">
        <f>IF(B207="","",MAX(0,E207-G207))</f>
        <v/>
      </c>
      <c r="I207" s="16">
        <f>IF(B207="","",F207-H207)</f>
        <v/>
      </c>
    </row>
    <row r="208">
      <c r="A208" s="11">
        <f>IF(B208="","","PG"&amp;TEXT(ROW()-1,"0000"))</f>
        <v/>
      </c>
      <c r="B208" s="12" t="n"/>
      <c r="C208" s="11">
        <f>IF(B208="","",INDEX(Prestamos!$B:$B,MATCH(B208,Prestamos!$A:$A,0)))</f>
        <v/>
      </c>
      <c r="D208" s="13" t="n"/>
      <c r="E208" s="14" t="n"/>
      <c r="F208" s="16">
        <f>IF(B208="","",INDEX(Prestamos!$D:$D,MATCH(B208,Prestamos!$A:$A,0))-SUMIFS($H$1:H1,$B$1:B1,B208))</f>
        <v/>
      </c>
      <c r="G208" s="16">
        <f>IF(B208="","",F208*INDEX(Prestamos!$E:$E,MATCH(B208,Prestamos!$A:$A,0)))</f>
        <v/>
      </c>
      <c r="H208" s="16">
        <f>IF(B208="","",MAX(0,E208-G208))</f>
        <v/>
      </c>
      <c r="I208" s="16">
        <f>IF(B208="","",F208-H208)</f>
        <v/>
      </c>
    </row>
    <row r="209">
      <c r="A209" s="11">
        <f>IF(B209="","","PG"&amp;TEXT(ROW()-1,"0000"))</f>
        <v/>
      </c>
      <c r="B209" s="12" t="n"/>
      <c r="C209" s="11">
        <f>IF(B209="","",INDEX(Prestamos!$B:$B,MATCH(B209,Prestamos!$A:$A,0)))</f>
        <v/>
      </c>
      <c r="D209" s="13" t="n"/>
      <c r="E209" s="14" t="n"/>
      <c r="F209" s="16">
        <f>IF(B209="","",INDEX(Prestamos!$D:$D,MATCH(B209,Prestamos!$A:$A,0))-SUMIFS($H$1:H1,$B$1:B1,B209))</f>
        <v/>
      </c>
      <c r="G209" s="16">
        <f>IF(B209="","",F209*INDEX(Prestamos!$E:$E,MATCH(B209,Prestamos!$A:$A,0)))</f>
        <v/>
      </c>
      <c r="H209" s="16">
        <f>IF(B209="","",MAX(0,E209-G209))</f>
        <v/>
      </c>
      <c r="I209" s="16">
        <f>IF(B209="","",F209-H209)</f>
        <v/>
      </c>
    </row>
    <row r="210">
      <c r="A210" s="11">
        <f>IF(B210="","","PG"&amp;TEXT(ROW()-1,"0000"))</f>
        <v/>
      </c>
      <c r="B210" s="12" t="n"/>
      <c r="C210" s="11">
        <f>IF(B210="","",INDEX(Prestamos!$B:$B,MATCH(B210,Prestamos!$A:$A,0)))</f>
        <v/>
      </c>
      <c r="D210" s="13" t="n"/>
      <c r="E210" s="14" t="n"/>
      <c r="F210" s="16">
        <f>IF(B210="","",INDEX(Prestamos!$D:$D,MATCH(B210,Prestamos!$A:$A,0))-SUMIFS($H$1:H1,$B$1:B1,B210))</f>
        <v/>
      </c>
      <c r="G210" s="16">
        <f>IF(B210="","",F210*INDEX(Prestamos!$E:$E,MATCH(B210,Prestamos!$A:$A,0)))</f>
        <v/>
      </c>
      <c r="H210" s="16">
        <f>IF(B210="","",MAX(0,E210-G210))</f>
        <v/>
      </c>
      <c r="I210" s="16">
        <f>IF(B210="","",F210-H210)</f>
        <v/>
      </c>
    </row>
    <row r="211">
      <c r="A211" s="11">
        <f>IF(B211="","","PG"&amp;TEXT(ROW()-1,"0000"))</f>
        <v/>
      </c>
      <c r="B211" s="12" t="n"/>
      <c r="C211" s="11">
        <f>IF(B211="","",INDEX(Prestamos!$B:$B,MATCH(B211,Prestamos!$A:$A,0)))</f>
        <v/>
      </c>
      <c r="D211" s="13" t="n"/>
      <c r="E211" s="14" t="n"/>
      <c r="F211" s="16">
        <f>IF(B211="","",INDEX(Prestamos!$D:$D,MATCH(B211,Prestamos!$A:$A,0))-SUMIFS($H$1:H1,$B$1:B1,B211))</f>
        <v/>
      </c>
      <c r="G211" s="16">
        <f>IF(B211="","",F211*INDEX(Prestamos!$E:$E,MATCH(B211,Prestamos!$A:$A,0)))</f>
        <v/>
      </c>
      <c r="H211" s="16">
        <f>IF(B211="","",MAX(0,E211-G211))</f>
        <v/>
      </c>
      <c r="I211" s="16">
        <f>IF(B211="","",F211-H211)</f>
        <v/>
      </c>
    </row>
    <row r="212">
      <c r="A212" s="11">
        <f>IF(B212="","","PG"&amp;TEXT(ROW()-1,"0000"))</f>
        <v/>
      </c>
      <c r="B212" s="12" t="n"/>
      <c r="C212" s="11">
        <f>IF(B212="","",INDEX(Prestamos!$B:$B,MATCH(B212,Prestamos!$A:$A,0)))</f>
        <v/>
      </c>
      <c r="D212" s="13" t="n"/>
      <c r="E212" s="14" t="n"/>
      <c r="F212" s="16">
        <f>IF(B212="","",INDEX(Prestamos!$D:$D,MATCH(B212,Prestamos!$A:$A,0))-SUMIFS($H$1:H1,$B$1:B1,B212))</f>
        <v/>
      </c>
      <c r="G212" s="16">
        <f>IF(B212="","",F212*INDEX(Prestamos!$E:$E,MATCH(B212,Prestamos!$A:$A,0)))</f>
        <v/>
      </c>
      <c r="H212" s="16">
        <f>IF(B212="","",MAX(0,E212-G212))</f>
        <v/>
      </c>
      <c r="I212" s="16">
        <f>IF(B212="","",F212-H212)</f>
        <v/>
      </c>
    </row>
    <row r="213">
      <c r="A213" s="11">
        <f>IF(B213="","","PG"&amp;TEXT(ROW()-1,"0000"))</f>
        <v/>
      </c>
      <c r="B213" s="12" t="n"/>
      <c r="C213" s="11">
        <f>IF(B213="","",INDEX(Prestamos!$B:$B,MATCH(B213,Prestamos!$A:$A,0)))</f>
        <v/>
      </c>
      <c r="D213" s="13" t="n"/>
      <c r="E213" s="14" t="n"/>
      <c r="F213" s="16">
        <f>IF(B213="","",INDEX(Prestamos!$D:$D,MATCH(B213,Prestamos!$A:$A,0))-SUMIFS($H$1:H1,$B$1:B1,B213))</f>
        <v/>
      </c>
      <c r="G213" s="16">
        <f>IF(B213="","",F213*INDEX(Prestamos!$E:$E,MATCH(B213,Prestamos!$A:$A,0)))</f>
        <v/>
      </c>
      <c r="H213" s="16">
        <f>IF(B213="","",MAX(0,E213-G213))</f>
        <v/>
      </c>
      <c r="I213" s="16">
        <f>IF(B213="","",F213-H213)</f>
        <v/>
      </c>
    </row>
    <row r="214">
      <c r="A214" s="11">
        <f>IF(B214="","","PG"&amp;TEXT(ROW()-1,"0000"))</f>
        <v/>
      </c>
      <c r="B214" s="12" t="n"/>
      <c r="C214" s="11">
        <f>IF(B214="","",INDEX(Prestamos!$B:$B,MATCH(B214,Prestamos!$A:$A,0)))</f>
        <v/>
      </c>
      <c r="D214" s="13" t="n"/>
      <c r="E214" s="14" t="n"/>
      <c r="F214" s="16">
        <f>IF(B214="","",INDEX(Prestamos!$D:$D,MATCH(B214,Prestamos!$A:$A,0))-SUMIFS($H$1:H1,$B$1:B1,B214))</f>
        <v/>
      </c>
      <c r="G214" s="16">
        <f>IF(B214="","",F214*INDEX(Prestamos!$E:$E,MATCH(B214,Prestamos!$A:$A,0)))</f>
        <v/>
      </c>
      <c r="H214" s="16">
        <f>IF(B214="","",MAX(0,E214-G214))</f>
        <v/>
      </c>
      <c r="I214" s="16">
        <f>IF(B214="","",F214-H214)</f>
        <v/>
      </c>
    </row>
    <row r="215">
      <c r="A215" s="11">
        <f>IF(B215="","","PG"&amp;TEXT(ROW()-1,"0000"))</f>
        <v/>
      </c>
      <c r="B215" s="12" t="n"/>
      <c r="C215" s="11">
        <f>IF(B215="","",INDEX(Prestamos!$B:$B,MATCH(B215,Prestamos!$A:$A,0)))</f>
        <v/>
      </c>
      <c r="D215" s="13" t="n"/>
      <c r="E215" s="14" t="n"/>
      <c r="F215" s="16">
        <f>IF(B215="","",INDEX(Prestamos!$D:$D,MATCH(B215,Prestamos!$A:$A,0))-SUMIFS($H$1:H1,$B$1:B1,B215))</f>
        <v/>
      </c>
      <c r="G215" s="16">
        <f>IF(B215="","",F215*INDEX(Prestamos!$E:$E,MATCH(B215,Prestamos!$A:$A,0)))</f>
        <v/>
      </c>
      <c r="H215" s="16">
        <f>IF(B215="","",MAX(0,E215-G215))</f>
        <v/>
      </c>
      <c r="I215" s="16">
        <f>IF(B215="","",F215-H215)</f>
        <v/>
      </c>
    </row>
    <row r="216">
      <c r="A216" s="11">
        <f>IF(B216="","","PG"&amp;TEXT(ROW()-1,"0000"))</f>
        <v/>
      </c>
      <c r="B216" s="12" t="n"/>
      <c r="C216" s="11">
        <f>IF(B216="","",INDEX(Prestamos!$B:$B,MATCH(B216,Prestamos!$A:$A,0)))</f>
        <v/>
      </c>
      <c r="D216" s="13" t="n"/>
      <c r="E216" s="14" t="n"/>
      <c r="F216" s="16">
        <f>IF(B216="","",INDEX(Prestamos!$D:$D,MATCH(B216,Prestamos!$A:$A,0))-SUMIFS($H$1:H1,$B$1:B1,B216))</f>
        <v/>
      </c>
      <c r="G216" s="16">
        <f>IF(B216="","",F216*INDEX(Prestamos!$E:$E,MATCH(B216,Prestamos!$A:$A,0)))</f>
        <v/>
      </c>
      <c r="H216" s="16">
        <f>IF(B216="","",MAX(0,E216-G216))</f>
        <v/>
      </c>
      <c r="I216" s="16">
        <f>IF(B216="","",F216-H216)</f>
        <v/>
      </c>
    </row>
    <row r="217">
      <c r="A217" s="11">
        <f>IF(B217="","","PG"&amp;TEXT(ROW()-1,"0000"))</f>
        <v/>
      </c>
      <c r="B217" s="12" t="n"/>
      <c r="C217" s="11">
        <f>IF(B217="","",INDEX(Prestamos!$B:$B,MATCH(B217,Prestamos!$A:$A,0)))</f>
        <v/>
      </c>
      <c r="D217" s="13" t="n"/>
      <c r="E217" s="14" t="n"/>
      <c r="F217" s="16">
        <f>IF(B217="","",INDEX(Prestamos!$D:$D,MATCH(B217,Prestamos!$A:$A,0))-SUMIFS($H$1:H1,$B$1:B1,B217))</f>
        <v/>
      </c>
      <c r="G217" s="16">
        <f>IF(B217="","",F217*INDEX(Prestamos!$E:$E,MATCH(B217,Prestamos!$A:$A,0)))</f>
        <v/>
      </c>
      <c r="H217" s="16">
        <f>IF(B217="","",MAX(0,E217-G217))</f>
        <v/>
      </c>
      <c r="I217" s="16">
        <f>IF(B217="","",F217-H217)</f>
        <v/>
      </c>
    </row>
    <row r="218">
      <c r="A218" s="11">
        <f>IF(B218="","","PG"&amp;TEXT(ROW()-1,"0000"))</f>
        <v/>
      </c>
      <c r="B218" s="12" t="n"/>
      <c r="C218" s="11">
        <f>IF(B218="","",INDEX(Prestamos!$B:$B,MATCH(B218,Prestamos!$A:$A,0)))</f>
        <v/>
      </c>
      <c r="D218" s="13" t="n"/>
      <c r="E218" s="14" t="n"/>
      <c r="F218" s="16">
        <f>IF(B218="","",INDEX(Prestamos!$D:$D,MATCH(B218,Prestamos!$A:$A,0))-SUMIFS($H$1:H1,$B$1:B1,B218))</f>
        <v/>
      </c>
      <c r="G218" s="16">
        <f>IF(B218="","",F218*INDEX(Prestamos!$E:$E,MATCH(B218,Prestamos!$A:$A,0)))</f>
        <v/>
      </c>
      <c r="H218" s="16">
        <f>IF(B218="","",MAX(0,E218-G218))</f>
        <v/>
      </c>
      <c r="I218" s="16">
        <f>IF(B218="","",F218-H218)</f>
        <v/>
      </c>
    </row>
    <row r="219">
      <c r="A219" s="11">
        <f>IF(B219="","","PG"&amp;TEXT(ROW()-1,"0000"))</f>
        <v/>
      </c>
      <c r="B219" s="12" t="n"/>
      <c r="C219" s="11">
        <f>IF(B219="","",INDEX(Prestamos!$B:$B,MATCH(B219,Prestamos!$A:$A,0)))</f>
        <v/>
      </c>
      <c r="D219" s="13" t="n"/>
      <c r="E219" s="14" t="n"/>
      <c r="F219" s="16">
        <f>IF(B219="","",INDEX(Prestamos!$D:$D,MATCH(B219,Prestamos!$A:$A,0))-SUMIFS($H$1:H1,$B$1:B1,B219))</f>
        <v/>
      </c>
      <c r="G219" s="16">
        <f>IF(B219="","",F219*INDEX(Prestamos!$E:$E,MATCH(B219,Prestamos!$A:$A,0)))</f>
        <v/>
      </c>
      <c r="H219" s="16">
        <f>IF(B219="","",MAX(0,E219-G219))</f>
        <v/>
      </c>
      <c r="I219" s="16">
        <f>IF(B219="","",F219-H219)</f>
        <v/>
      </c>
    </row>
    <row r="220">
      <c r="A220" s="11">
        <f>IF(B220="","","PG"&amp;TEXT(ROW()-1,"0000"))</f>
        <v/>
      </c>
      <c r="B220" s="12" t="n"/>
      <c r="C220" s="11">
        <f>IF(B220="","",INDEX(Prestamos!$B:$B,MATCH(B220,Prestamos!$A:$A,0)))</f>
        <v/>
      </c>
      <c r="D220" s="13" t="n"/>
      <c r="E220" s="14" t="n"/>
      <c r="F220" s="16">
        <f>IF(B220="","",INDEX(Prestamos!$D:$D,MATCH(B220,Prestamos!$A:$A,0))-SUMIFS($H$1:H1,$B$1:B1,B220))</f>
        <v/>
      </c>
      <c r="G220" s="16">
        <f>IF(B220="","",F220*INDEX(Prestamos!$E:$E,MATCH(B220,Prestamos!$A:$A,0)))</f>
        <v/>
      </c>
      <c r="H220" s="16">
        <f>IF(B220="","",MAX(0,E220-G220))</f>
        <v/>
      </c>
      <c r="I220" s="16">
        <f>IF(B220="","",F220-H220)</f>
        <v/>
      </c>
    </row>
    <row r="221">
      <c r="A221" s="11">
        <f>IF(B221="","","PG"&amp;TEXT(ROW()-1,"0000"))</f>
        <v/>
      </c>
      <c r="B221" s="12" t="n"/>
      <c r="C221" s="11">
        <f>IF(B221="","",INDEX(Prestamos!$B:$B,MATCH(B221,Prestamos!$A:$A,0)))</f>
        <v/>
      </c>
      <c r="D221" s="13" t="n"/>
      <c r="E221" s="14" t="n"/>
      <c r="F221" s="16">
        <f>IF(B221="","",INDEX(Prestamos!$D:$D,MATCH(B221,Prestamos!$A:$A,0))-SUMIFS($H$1:H1,$B$1:B1,B221))</f>
        <v/>
      </c>
      <c r="G221" s="16">
        <f>IF(B221="","",F221*INDEX(Prestamos!$E:$E,MATCH(B221,Prestamos!$A:$A,0)))</f>
        <v/>
      </c>
      <c r="H221" s="16">
        <f>IF(B221="","",MAX(0,E221-G221))</f>
        <v/>
      </c>
      <c r="I221" s="16">
        <f>IF(B221="","",F221-H221)</f>
        <v/>
      </c>
    </row>
    <row r="222">
      <c r="A222" s="11">
        <f>IF(B222="","","PG"&amp;TEXT(ROW()-1,"0000"))</f>
        <v/>
      </c>
      <c r="B222" s="12" t="n"/>
      <c r="C222" s="11">
        <f>IF(B222="","",INDEX(Prestamos!$B:$B,MATCH(B222,Prestamos!$A:$A,0)))</f>
        <v/>
      </c>
      <c r="D222" s="13" t="n"/>
      <c r="E222" s="14" t="n"/>
      <c r="F222" s="16">
        <f>IF(B222="","",INDEX(Prestamos!$D:$D,MATCH(B222,Prestamos!$A:$A,0))-SUMIFS($H$1:H1,$B$1:B1,B222))</f>
        <v/>
      </c>
      <c r="G222" s="16">
        <f>IF(B222="","",F222*INDEX(Prestamos!$E:$E,MATCH(B222,Prestamos!$A:$A,0)))</f>
        <v/>
      </c>
      <c r="H222" s="16">
        <f>IF(B222="","",MAX(0,E222-G222))</f>
        <v/>
      </c>
      <c r="I222" s="16">
        <f>IF(B222="","",F222-H222)</f>
        <v/>
      </c>
    </row>
    <row r="223">
      <c r="A223" s="11">
        <f>IF(B223="","","PG"&amp;TEXT(ROW()-1,"0000"))</f>
        <v/>
      </c>
      <c r="B223" s="12" t="n"/>
      <c r="C223" s="11">
        <f>IF(B223="","",INDEX(Prestamos!$B:$B,MATCH(B223,Prestamos!$A:$A,0)))</f>
        <v/>
      </c>
      <c r="D223" s="13" t="n"/>
      <c r="E223" s="14" t="n"/>
      <c r="F223" s="16">
        <f>IF(B223="","",INDEX(Prestamos!$D:$D,MATCH(B223,Prestamos!$A:$A,0))-SUMIFS($H$1:H1,$B$1:B1,B223))</f>
        <v/>
      </c>
      <c r="G223" s="16">
        <f>IF(B223="","",F223*INDEX(Prestamos!$E:$E,MATCH(B223,Prestamos!$A:$A,0)))</f>
        <v/>
      </c>
      <c r="H223" s="16">
        <f>IF(B223="","",MAX(0,E223-G223))</f>
        <v/>
      </c>
      <c r="I223" s="16">
        <f>IF(B223="","",F223-H223)</f>
        <v/>
      </c>
    </row>
    <row r="224">
      <c r="A224" s="11">
        <f>IF(B224="","","PG"&amp;TEXT(ROW()-1,"0000"))</f>
        <v/>
      </c>
      <c r="B224" s="12" t="n"/>
      <c r="C224" s="11">
        <f>IF(B224="","",INDEX(Prestamos!$B:$B,MATCH(B224,Prestamos!$A:$A,0)))</f>
        <v/>
      </c>
      <c r="D224" s="13" t="n"/>
      <c r="E224" s="14" t="n"/>
      <c r="F224" s="16">
        <f>IF(B224="","",INDEX(Prestamos!$D:$D,MATCH(B224,Prestamos!$A:$A,0))-SUMIFS($H$1:H1,$B$1:B1,B224))</f>
        <v/>
      </c>
      <c r="G224" s="16">
        <f>IF(B224="","",F224*INDEX(Prestamos!$E:$E,MATCH(B224,Prestamos!$A:$A,0)))</f>
        <v/>
      </c>
      <c r="H224" s="16">
        <f>IF(B224="","",MAX(0,E224-G224))</f>
        <v/>
      </c>
      <c r="I224" s="16">
        <f>IF(B224="","",F224-H224)</f>
        <v/>
      </c>
    </row>
    <row r="225">
      <c r="A225" s="11">
        <f>IF(B225="","","PG"&amp;TEXT(ROW()-1,"0000"))</f>
        <v/>
      </c>
      <c r="B225" s="12" t="n"/>
      <c r="C225" s="11">
        <f>IF(B225="","",INDEX(Prestamos!$B:$B,MATCH(B225,Prestamos!$A:$A,0)))</f>
        <v/>
      </c>
      <c r="D225" s="13" t="n"/>
      <c r="E225" s="14" t="n"/>
      <c r="F225" s="16">
        <f>IF(B225="","",INDEX(Prestamos!$D:$D,MATCH(B225,Prestamos!$A:$A,0))-SUMIFS($H$1:H1,$B$1:B1,B225))</f>
        <v/>
      </c>
      <c r="G225" s="16">
        <f>IF(B225="","",F225*INDEX(Prestamos!$E:$E,MATCH(B225,Prestamos!$A:$A,0)))</f>
        <v/>
      </c>
      <c r="H225" s="16">
        <f>IF(B225="","",MAX(0,E225-G225))</f>
        <v/>
      </c>
      <c r="I225" s="16">
        <f>IF(B225="","",F225-H225)</f>
        <v/>
      </c>
    </row>
    <row r="226">
      <c r="A226" s="11">
        <f>IF(B226="","","PG"&amp;TEXT(ROW()-1,"0000"))</f>
        <v/>
      </c>
      <c r="B226" s="12" t="n"/>
      <c r="C226" s="11">
        <f>IF(B226="","",INDEX(Prestamos!$B:$B,MATCH(B226,Prestamos!$A:$A,0)))</f>
        <v/>
      </c>
      <c r="D226" s="13" t="n"/>
      <c r="E226" s="14" t="n"/>
      <c r="F226" s="16">
        <f>IF(B226="","",INDEX(Prestamos!$D:$D,MATCH(B226,Prestamos!$A:$A,0))-SUMIFS($H$1:H1,$B$1:B1,B226))</f>
        <v/>
      </c>
      <c r="G226" s="16">
        <f>IF(B226="","",F226*INDEX(Prestamos!$E:$E,MATCH(B226,Prestamos!$A:$A,0)))</f>
        <v/>
      </c>
      <c r="H226" s="16">
        <f>IF(B226="","",MAX(0,E226-G226))</f>
        <v/>
      </c>
      <c r="I226" s="16">
        <f>IF(B226="","",F226-H226)</f>
        <v/>
      </c>
    </row>
    <row r="227">
      <c r="A227" s="11">
        <f>IF(B227="","","PG"&amp;TEXT(ROW()-1,"0000"))</f>
        <v/>
      </c>
      <c r="B227" s="12" t="n"/>
      <c r="C227" s="11">
        <f>IF(B227="","",INDEX(Prestamos!$B:$B,MATCH(B227,Prestamos!$A:$A,0)))</f>
        <v/>
      </c>
      <c r="D227" s="13" t="n"/>
      <c r="E227" s="14" t="n"/>
      <c r="F227" s="16">
        <f>IF(B227="","",INDEX(Prestamos!$D:$D,MATCH(B227,Prestamos!$A:$A,0))-SUMIFS($H$1:H1,$B$1:B1,B227))</f>
        <v/>
      </c>
      <c r="G227" s="16">
        <f>IF(B227="","",F227*INDEX(Prestamos!$E:$E,MATCH(B227,Prestamos!$A:$A,0)))</f>
        <v/>
      </c>
      <c r="H227" s="16">
        <f>IF(B227="","",MAX(0,E227-G227))</f>
        <v/>
      </c>
      <c r="I227" s="16">
        <f>IF(B227="","",F227-H227)</f>
        <v/>
      </c>
    </row>
    <row r="228">
      <c r="A228" s="11">
        <f>IF(B228="","","PG"&amp;TEXT(ROW()-1,"0000"))</f>
        <v/>
      </c>
      <c r="B228" s="12" t="n"/>
      <c r="C228" s="11">
        <f>IF(B228="","",INDEX(Prestamos!$B:$B,MATCH(B228,Prestamos!$A:$A,0)))</f>
        <v/>
      </c>
      <c r="D228" s="13" t="n"/>
      <c r="E228" s="14" t="n"/>
      <c r="F228" s="16">
        <f>IF(B228="","",INDEX(Prestamos!$D:$D,MATCH(B228,Prestamos!$A:$A,0))-SUMIFS($H$1:H1,$B$1:B1,B228))</f>
        <v/>
      </c>
      <c r="G228" s="16">
        <f>IF(B228="","",F228*INDEX(Prestamos!$E:$E,MATCH(B228,Prestamos!$A:$A,0)))</f>
        <v/>
      </c>
      <c r="H228" s="16">
        <f>IF(B228="","",MAX(0,E228-G228))</f>
        <v/>
      </c>
      <c r="I228" s="16">
        <f>IF(B228="","",F228-H228)</f>
        <v/>
      </c>
    </row>
    <row r="229">
      <c r="A229" s="11">
        <f>IF(B229="","","PG"&amp;TEXT(ROW()-1,"0000"))</f>
        <v/>
      </c>
      <c r="B229" s="12" t="n"/>
      <c r="C229" s="11">
        <f>IF(B229="","",INDEX(Prestamos!$B:$B,MATCH(B229,Prestamos!$A:$A,0)))</f>
        <v/>
      </c>
      <c r="D229" s="13" t="n"/>
      <c r="E229" s="14" t="n"/>
      <c r="F229" s="16">
        <f>IF(B229="","",INDEX(Prestamos!$D:$D,MATCH(B229,Prestamos!$A:$A,0))-SUMIFS($H$1:H1,$B$1:B1,B229))</f>
        <v/>
      </c>
      <c r="G229" s="16">
        <f>IF(B229="","",F229*INDEX(Prestamos!$E:$E,MATCH(B229,Prestamos!$A:$A,0)))</f>
        <v/>
      </c>
      <c r="H229" s="16">
        <f>IF(B229="","",MAX(0,E229-G229))</f>
        <v/>
      </c>
      <c r="I229" s="16">
        <f>IF(B229="","",F229-H229)</f>
        <v/>
      </c>
    </row>
    <row r="230">
      <c r="A230" s="11">
        <f>IF(B230="","","PG"&amp;TEXT(ROW()-1,"0000"))</f>
        <v/>
      </c>
      <c r="B230" s="12" t="n"/>
      <c r="C230" s="11">
        <f>IF(B230="","",INDEX(Prestamos!$B:$B,MATCH(B230,Prestamos!$A:$A,0)))</f>
        <v/>
      </c>
      <c r="D230" s="13" t="n"/>
      <c r="E230" s="14" t="n"/>
      <c r="F230" s="16">
        <f>IF(B230="","",INDEX(Prestamos!$D:$D,MATCH(B230,Prestamos!$A:$A,0))-SUMIFS($H$1:H1,$B$1:B1,B230))</f>
        <v/>
      </c>
      <c r="G230" s="16">
        <f>IF(B230="","",F230*INDEX(Prestamos!$E:$E,MATCH(B230,Prestamos!$A:$A,0)))</f>
        <v/>
      </c>
      <c r="H230" s="16">
        <f>IF(B230="","",MAX(0,E230-G230))</f>
        <v/>
      </c>
      <c r="I230" s="16">
        <f>IF(B230="","",F230-H230)</f>
        <v/>
      </c>
    </row>
    <row r="231">
      <c r="A231" s="11">
        <f>IF(B231="","","PG"&amp;TEXT(ROW()-1,"0000"))</f>
        <v/>
      </c>
      <c r="B231" s="12" t="n"/>
      <c r="C231" s="11">
        <f>IF(B231="","",INDEX(Prestamos!$B:$B,MATCH(B231,Prestamos!$A:$A,0)))</f>
        <v/>
      </c>
      <c r="D231" s="13" t="n"/>
      <c r="E231" s="14" t="n"/>
      <c r="F231" s="16">
        <f>IF(B231="","",INDEX(Prestamos!$D:$D,MATCH(B231,Prestamos!$A:$A,0))-SUMIFS($H$1:H1,$B$1:B1,B231))</f>
        <v/>
      </c>
      <c r="G231" s="16">
        <f>IF(B231="","",F231*INDEX(Prestamos!$E:$E,MATCH(B231,Prestamos!$A:$A,0)))</f>
        <v/>
      </c>
      <c r="H231" s="16">
        <f>IF(B231="","",MAX(0,E231-G231))</f>
        <v/>
      </c>
      <c r="I231" s="16">
        <f>IF(B231="","",F231-H231)</f>
        <v/>
      </c>
    </row>
    <row r="232">
      <c r="A232" s="11">
        <f>IF(B232="","","PG"&amp;TEXT(ROW()-1,"0000"))</f>
        <v/>
      </c>
      <c r="B232" s="12" t="n"/>
      <c r="C232" s="11">
        <f>IF(B232="","",INDEX(Prestamos!$B:$B,MATCH(B232,Prestamos!$A:$A,0)))</f>
        <v/>
      </c>
      <c r="D232" s="13" t="n"/>
      <c r="E232" s="14" t="n"/>
      <c r="F232" s="16">
        <f>IF(B232="","",INDEX(Prestamos!$D:$D,MATCH(B232,Prestamos!$A:$A,0))-SUMIFS($H$1:H1,$B$1:B1,B232))</f>
        <v/>
      </c>
      <c r="G232" s="16">
        <f>IF(B232="","",F232*INDEX(Prestamos!$E:$E,MATCH(B232,Prestamos!$A:$A,0)))</f>
        <v/>
      </c>
      <c r="H232" s="16">
        <f>IF(B232="","",MAX(0,E232-G232))</f>
        <v/>
      </c>
      <c r="I232" s="16">
        <f>IF(B232="","",F232-H232)</f>
        <v/>
      </c>
    </row>
    <row r="233">
      <c r="A233" s="11">
        <f>IF(B233="","","PG"&amp;TEXT(ROW()-1,"0000"))</f>
        <v/>
      </c>
      <c r="B233" s="12" t="n"/>
      <c r="C233" s="11">
        <f>IF(B233="","",INDEX(Prestamos!$B:$B,MATCH(B233,Prestamos!$A:$A,0)))</f>
        <v/>
      </c>
      <c r="D233" s="13" t="n"/>
      <c r="E233" s="14" t="n"/>
      <c r="F233" s="16">
        <f>IF(B233="","",INDEX(Prestamos!$D:$D,MATCH(B233,Prestamos!$A:$A,0))-SUMIFS($H$1:H1,$B$1:B1,B233))</f>
        <v/>
      </c>
      <c r="G233" s="16">
        <f>IF(B233="","",F233*INDEX(Prestamos!$E:$E,MATCH(B233,Prestamos!$A:$A,0)))</f>
        <v/>
      </c>
      <c r="H233" s="16">
        <f>IF(B233="","",MAX(0,E233-G233))</f>
        <v/>
      </c>
      <c r="I233" s="16">
        <f>IF(B233="","",F233-H233)</f>
        <v/>
      </c>
    </row>
    <row r="234">
      <c r="A234" s="11">
        <f>IF(B234="","","PG"&amp;TEXT(ROW()-1,"0000"))</f>
        <v/>
      </c>
      <c r="B234" s="12" t="n"/>
      <c r="C234" s="11">
        <f>IF(B234="","",INDEX(Prestamos!$B:$B,MATCH(B234,Prestamos!$A:$A,0)))</f>
        <v/>
      </c>
      <c r="D234" s="13" t="n"/>
      <c r="E234" s="14" t="n"/>
      <c r="F234" s="16">
        <f>IF(B234="","",INDEX(Prestamos!$D:$D,MATCH(B234,Prestamos!$A:$A,0))-SUMIFS($H$1:H1,$B$1:B1,B234))</f>
        <v/>
      </c>
      <c r="G234" s="16">
        <f>IF(B234="","",F234*INDEX(Prestamos!$E:$E,MATCH(B234,Prestamos!$A:$A,0)))</f>
        <v/>
      </c>
      <c r="H234" s="16">
        <f>IF(B234="","",MAX(0,E234-G234))</f>
        <v/>
      </c>
      <c r="I234" s="16">
        <f>IF(B234="","",F234-H234)</f>
        <v/>
      </c>
    </row>
    <row r="235">
      <c r="A235" s="11">
        <f>IF(B235="","","PG"&amp;TEXT(ROW()-1,"0000"))</f>
        <v/>
      </c>
      <c r="B235" s="12" t="n"/>
      <c r="C235" s="11">
        <f>IF(B235="","",INDEX(Prestamos!$B:$B,MATCH(B235,Prestamos!$A:$A,0)))</f>
        <v/>
      </c>
      <c r="D235" s="13" t="n"/>
      <c r="E235" s="14" t="n"/>
      <c r="F235" s="16">
        <f>IF(B235="","",INDEX(Prestamos!$D:$D,MATCH(B235,Prestamos!$A:$A,0))-SUMIFS($H$1:H1,$B$1:B1,B235))</f>
        <v/>
      </c>
      <c r="G235" s="16">
        <f>IF(B235="","",F235*INDEX(Prestamos!$E:$E,MATCH(B235,Prestamos!$A:$A,0)))</f>
        <v/>
      </c>
      <c r="H235" s="16">
        <f>IF(B235="","",MAX(0,E235-G235))</f>
        <v/>
      </c>
      <c r="I235" s="16">
        <f>IF(B235="","",F235-H235)</f>
        <v/>
      </c>
    </row>
    <row r="236">
      <c r="A236" s="11">
        <f>IF(B236="","","PG"&amp;TEXT(ROW()-1,"0000"))</f>
        <v/>
      </c>
      <c r="B236" s="12" t="n"/>
      <c r="C236" s="11">
        <f>IF(B236="","",INDEX(Prestamos!$B:$B,MATCH(B236,Prestamos!$A:$A,0)))</f>
        <v/>
      </c>
      <c r="D236" s="13" t="n"/>
      <c r="E236" s="14" t="n"/>
      <c r="F236" s="16">
        <f>IF(B236="","",INDEX(Prestamos!$D:$D,MATCH(B236,Prestamos!$A:$A,0))-SUMIFS($H$1:H1,$B$1:B1,B236))</f>
        <v/>
      </c>
      <c r="G236" s="16">
        <f>IF(B236="","",F236*INDEX(Prestamos!$E:$E,MATCH(B236,Prestamos!$A:$A,0)))</f>
        <v/>
      </c>
      <c r="H236" s="16">
        <f>IF(B236="","",MAX(0,E236-G236))</f>
        <v/>
      </c>
      <c r="I236" s="16">
        <f>IF(B236="","",F236-H236)</f>
        <v/>
      </c>
    </row>
    <row r="237">
      <c r="A237" s="11">
        <f>IF(B237="","","PG"&amp;TEXT(ROW()-1,"0000"))</f>
        <v/>
      </c>
      <c r="B237" s="12" t="n"/>
      <c r="C237" s="11">
        <f>IF(B237="","",INDEX(Prestamos!$B:$B,MATCH(B237,Prestamos!$A:$A,0)))</f>
        <v/>
      </c>
      <c r="D237" s="13" t="n"/>
      <c r="E237" s="14" t="n"/>
      <c r="F237" s="16">
        <f>IF(B237="","",INDEX(Prestamos!$D:$D,MATCH(B237,Prestamos!$A:$A,0))-SUMIFS($H$1:H1,$B$1:B1,B237))</f>
        <v/>
      </c>
      <c r="G237" s="16">
        <f>IF(B237="","",F237*INDEX(Prestamos!$E:$E,MATCH(B237,Prestamos!$A:$A,0)))</f>
        <v/>
      </c>
      <c r="H237" s="16">
        <f>IF(B237="","",MAX(0,E237-G237))</f>
        <v/>
      </c>
      <c r="I237" s="16">
        <f>IF(B237="","",F237-H237)</f>
        <v/>
      </c>
    </row>
    <row r="238">
      <c r="A238" s="11">
        <f>IF(B238="","","PG"&amp;TEXT(ROW()-1,"0000"))</f>
        <v/>
      </c>
      <c r="B238" s="12" t="n"/>
      <c r="C238" s="11">
        <f>IF(B238="","",INDEX(Prestamos!$B:$B,MATCH(B238,Prestamos!$A:$A,0)))</f>
        <v/>
      </c>
      <c r="D238" s="13" t="n"/>
      <c r="E238" s="14" t="n"/>
      <c r="F238" s="16">
        <f>IF(B238="","",INDEX(Prestamos!$D:$D,MATCH(B238,Prestamos!$A:$A,0))-SUMIFS($H$1:H1,$B$1:B1,B238))</f>
        <v/>
      </c>
      <c r="G238" s="16">
        <f>IF(B238="","",F238*INDEX(Prestamos!$E:$E,MATCH(B238,Prestamos!$A:$A,0)))</f>
        <v/>
      </c>
      <c r="H238" s="16">
        <f>IF(B238="","",MAX(0,E238-G238))</f>
        <v/>
      </c>
      <c r="I238" s="16">
        <f>IF(B238="","",F238-H238)</f>
        <v/>
      </c>
    </row>
    <row r="239">
      <c r="A239" s="11">
        <f>IF(B239="","","PG"&amp;TEXT(ROW()-1,"0000"))</f>
        <v/>
      </c>
      <c r="B239" s="12" t="n"/>
      <c r="C239" s="11">
        <f>IF(B239="","",INDEX(Prestamos!$B:$B,MATCH(B239,Prestamos!$A:$A,0)))</f>
        <v/>
      </c>
      <c r="D239" s="13" t="n"/>
      <c r="E239" s="14" t="n"/>
      <c r="F239" s="16">
        <f>IF(B239="","",INDEX(Prestamos!$D:$D,MATCH(B239,Prestamos!$A:$A,0))-SUMIFS($H$1:H1,$B$1:B1,B239))</f>
        <v/>
      </c>
      <c r="G239" s="16">
        <f>IF(B239="","",F239*INDEX(Prestamos!$E:$E,MATCH(B239,Prestamos!$A:$A,0)))</f>
        <v/>
      </c>
      <c r="H239" s="16">
        <f>IF(B239="","",MAX(0,E239-G239))</f>
        <v/>
      </c>
      <c r="I239" s="16">
        <f>IF(B239="","",F239-H239)</f>
        <v/>
      </c>
    </row>
    <row r="240">
      <c r="A240" s="11">
        <f>IF(B240="","","PG"&amp;TEXT(ROW()-1,"0000"))</f>
        <v/>
      </c>
      <c r="B240" s="12" t="n"/>
      <c r="C240" s="11">
        <f>IF(B240="","",INDEX(Prestamos!$B:$B,MATCH(B240,Prestamos!$A:$A,0)))</f>
        <v/>
      </c>
      <c r="D240" s="13" t="n"/>
      <c r="E240" s="14" t="n"/>
      <c r="F240" s="16">
        <f>IF(B240="","",INDEX(Prestamos!$D:$D,MATCH(B240,Prestamos!$A:$A,0))-SUMIFS($H$1:H1,$B$1:B1,B240))</f>
        <v/>
      </c>
      <c r="G240" s="16">
        <f>IF(B240="","",F240*INDEX(Prestamos!$E:$E,MATCH(B240,Prestamos!$A:$A,0)))</f>
        <v/>
      </c>
      <c r="H240" s="16">
        <f>IF(B240="","",MAX(0,E240-G240))</f>
        <v/>
      </c>
      <c r="I240" s="16">
        <f>IF(B240="","",F240-H240)</f>
        <v/>
      </c>
    </row>
    <row r="241">
      <c r="A241" s="11">
        <f>IF(B241="","","PG"&amp;TEXT(ROW()-1,"0000"))</f>
        <v/>
      </c>
      <c r="B241" s="12" t="n"/>
      <c r="C241" s="11">
        <f>IF(B241="","",INDEX(Prestamos!$B:$B,MATCH(B241,Prestamos!$A:$A,0)))</f>
        <v/>
      </c>
      <c r="D241" s="13" t="n"/>
      <c r="E241" s="14" t="n"/>
      <c r="F241" s="16">
        <f>IF(B241="","",INDEX(Prestamos!$D:$D,MATCH(B241,Prestamos!$A:$A,0))-SUMIFS($H$1:H1,$B$1:B1,B241))</f>
        <v/>
      </c>
      <c r="G241" s="16">
        <f>IF(B241="","",F241*INDEX(Prestamos!$E:$E,MATCH(B241,Prestamos!$A:$A,0)))</f>
        <v/>
      </c>
      <c r="H241" s="16">
        <f>IF(B241="","",MAX(0,E241-G241))</f>
        <v/>
      </c>
      <c r="I241" s="16">
        <f>IF(B241="","",F241-H241)</f>
        <v/>
      </c>
    </row>
    <row r="242">
      <c r="A242" s="11">
        <f>IF(B242="","","PG"&amp;TEXT(ROW()-1,"0000"))</f>
        <v/>
      </c>
      <c r="B242" s="12" t="n"/>
      <c r="C242" s="11">
        <f>IF(B242="","",INDEX(Prestamos!$B:$B,MATCH(B242,Prestamos!$A:$A,0)))</f>
        <v/>
      </c>
      <c r="D242" s="13" t="n"/>
      <c r="E242" s="14" t="n"/>
      <c r="F242" s="16">
        <f>IF(B242="","",INDEX(Prestamos!$D:$D,MATCH(B242,Prestamos!$A:$A,0))-SUMIFS($H$1:H1,$B$1:B1,B242))</f>
        <v/>
      </c>
      <c r="G242" s="16">
        <f>IF(B242="","",F242*INDEX(Prestamos!$E:$E,MATCH(B242,Prestamos!$A:$A,0)))</f>
        <v/>
      </c>
      <c r="H242" s="16">
        <f>IF(B242="","",MAX(0,E242-G242))</f>
        <v/>
      </c>
      <c r="I242" s="16">
        <f>IF(B242="","",F242-H242)</f>
        <v/>
      </c>
    </row>
    <row r="243">
      <c r="A243" s="11">
        <f>IF(B243="","","PG"&amp;TEXT(ROW()-1,"0000"))</f>
        <v/>
      </c>
      <c r="B243" s="12" t="n"/>
      <c r="C243" s="11">
        <f>IF(B243="","",INDEX(Prestamos!$B:$B,MATCH(B243,Prestamos!$A:$A,0)))</f>
        <v/>
      </c>
      <c r="D243" s="13" t="n"/>
      <c r="E243" s="14" t="n"/>
      <c r="F243" s="16">
        <f>IF(B243="","",INDEX(Prestamos!$D:$D,MATCH(B243,Prestamos!$A:$A,0))-SUMIFS($H$1:H1,$B$1:B1,B243))</f>
        <v/>
      </c>
      <c r="G243" s="16">
        <f>IF(B243="","",F243*INDEX(Prestamos!$E:$E,MATCH(B243,Prestamos!$A:$A,0)))</f>
        <v/>
      </c>
      <c r="H243" s="16">
        <f>IF(B243="","",MAX(0,E243-G243))</f>
        <v/>
      </c>
      <c r="I243" s="16">
        <f>IF(B243="","",F243-H243)</f>
        <v/>
      </c>
    </row>
    <row r="244">
      <c r="A244" s="11">
        <f>IF(B244="","","PG"&amp;TEXT(ROW()-1,"0000"))</f>
        <v/>
      </c>
      <c r="B244" s="12" t="n"/>
      <c r="C244" s="11">
        <f>IF(B244="","",INDEX(Prestamos!$B:$B,MATCH(B244,Prestamos!$A:$A,0)))</f>
        <v/>
      </c>
      <c r="D244" s="13" t="n"/>
      <c r="E244" s="14" t="n"/>
      <c r="F244" s="16">
        <f>IF(B244="","",INDEX(Prestamos!$D:$D,MATCH(B244,Prestamos!$A:$A,0))-SUMIFS($H$1:H1,$B$1:B1,B244))</f>
        <v/>
      </c>
      <c r="G244" s="16">
        <f>IF(B244="","",F244*INDEX(Prestamos!$E:$E,MATCH(B244,Prestamos!$A:$A,0)))</f>
        <v/>
      </c>
      <c r="H244" s="16">
        <f>IF(B244="","",MAX(0,E244-G244))</f>
        <v/>
      </c>
      <c r="I244" s="16">
        <f>IF(B244="","",F244-H244)</f>
        <v/>
      </c>
    </row>
    <row r="245">
      <c r="A245" s="11">
        <f>IF(B245="","","PG"&amp;TEXT(ROW()-1,"0000"))</f>
        <v/>
      </c>
      <c r="B245" s="12" t="n"/>
      <c r="C245" s="11">
        <f>IF(B245="","",INDEX(Prestamos!$B:$B,MATCH(B245,Prestamos!$A:$A,0)))</f>
        <v/>
      </c>
      <c r="D245" s="13" t="n"/>
      <c r="E245" s="14" t="n"/>
      <c r="F245" s="16">
        <f>IF(B245="","",INDEX(Prestamos!$D:$D,MATCH(B245,Prestamos!$A:$A,0))-SUMIFS($H$1:H1,$B$1:B1,B245))</f>
        <v/>
      </c>
      <c r="G245" s="16">
        <f>IF(B245="","",F245*INDEX(Prestamos!$E:$E,MATCH(B245,Prestamos!$A:$A,0)))</f>
        <v/>
      </c>
      <c r="H245" s="16">
        <f>IF(B245="","",MAX(0,E245-G245))</f>
        <v/>
      </c>
      <c r="I245" s="16">
        <f>IF(B245="","",F245-H245)</f>
        <v/>
      </c>
    </row>
    <row r="246">
      <c r="A246" s="11">
        <f>IF(B246="","","PG"&amp;TEXT(ROW()-1,"0000"))</f>
        <v/>
      </c>
      <c r="B246" s="12" t="n"/>
      <c r="C246" s="11">
        <f>IF(B246="","",INDEX(Prestamos!$B:$B,MATCH(B246,Prestamos!$A:$A,0)))</f>
        <v/>
      </c>
      <c r="D246" s="13" t="n"/>
      <c r="E246" s="14" t="n"/>
      <c r="F246" s="16">
        <f>IF(B246="","",INDEX(Prestamos!$D:$D,MATCH(B246,Prestamos!$A:$A,0))-SUMIFS($H$1:H1,$B$1:B1,B246))</f>
        <v/>
      </c>
      <c r="G246" s="16">
        <f>IF(B246="","",F246*INDEX(Prestamos!$E:$E,MATCH(B246,Prestamos!$A:$A,0)))</f>
        <v/>
      </c>
      <c r="H246" s="16">
        <f>IF(B246="","",MAX(0,E246-G246))</f>
        <v/>
      </c>
      <c r="I246" s="16">
        <f>IF(B246="","",F246-H246)</f>
        <v/>
      </c>
    </row>
    <row r="247">
      <c r="A247" s="11">
        <f>IF(B247="","","PG"&amp;TEXT(ROW()-1,"0000"))</f>
        <v/>
      </c>
      <c r="B247" s="12" t="n"/>
      <c r="C247" s="11">
        <f>IF(B247="","",INDEX(Prestamos!$B:$B,MATCH(B247,Prestamos!$A:$A,0)))</f>
        <v/>
      </c>
      <c r="D247" s="13" t="n"/>
      <c r="E247" s="14" t="n"/>
      <c r="F247" s="16">
        <f>IF(B247="","",INDEX(Prestamos!$D:$D,MATCH(B247,Prestamos!$A:$A,0))-SUMIFS($H$1:H1,$B$1:B1,B247))</f>
        <v/>
      </c>
      <c r="G247" s="16">
        <f>IF(B247="","",F247*INDEX(Prestamos!$E:$E,MATCH(B247,Prestamos!$A:$A,0)))</f>
        <v/>
      </c>
      <c r="H247" s="16">
        <f>IF(B247="","",MAX(0,E247-G247))</f>
        <v/>
      </c>
      <c r="I247" s="16">
        <f>IF(B247="","",F247-H247)</f>
        <v/>
      </c>
    </row>
    <row r="248">
      <c r="A248" s="11">
        <f>IF(B248="","","PG"&amp;TEXT(ROW()-1,"0000"))</f>
        <v/>
      </c>
      <c r="B248" s="12" t="n"/>
      <c r="C248" s="11">
        <f>IF(B248="","",INDEX(Prestamos!$B:$B,MATCH(B248,Prestamos!$A:$A,0)))</f>
        <v/>
      </c>
      <c r="D248" s="13" t="n"/>
      <c r="E248" s="14" t="n"/>
      <c r="F248" s="16">
        <f>IF(B248="","",INDEX(Prestamos!$D:$D,MATCH(B248,Prestamos!$A:$A,0))-SUMIFS($H$1:H1,$B$1:B1,B248))</f>
        <v/>
      </c>
      <c r="G248" s="16">
        <f>IF(B248="","",F248*INDEX(Prestamos!$E:$E,MATCH(B248,Prestamos!$A:$A,0)))</f>
        <v/>
      </c>
      <c r="H248" s="16">
        <f>IF(B248="","",MAX(0,E248-G248))</f>
        <v/>
      </c>
      <c r="I248" s="16">
        <f>IF(B248="","",F248-H248)</f>
        <v/>
      </c>
    </row>
    <row r="249">
      <c r="A249" s="11">
        <f>IF(B249="","","PG"&amp;TEXT(ROW()-1,"0000"))</f>
        <v/>
      </c>
      <c r="B249" s="12" t="n"/>
      <c r="C249" s="11">
        <f>IF(B249="","",INDEX(Prestamos!$B:$B,MATCH(B249,Prestamos!$A:$A,0)))</f>
        <v/>
      </c>
      <c r="D249" s="13" t="n"/>
      <c r="E249" s="14" t="n"/>
      <c r="F249" s="16">
        <f>IF(B249="","",INDEX(Prestamos!$D:$D,MATCH(B249,Prestamos!$A:$A,0))-SUMIFS($H$1:H1,$B$1:B1,B249))</f>
        <v/>
      </c>
      <c r="G249" s="16">
        <f>IF(B249="","",F249*INDEX(Prestamos!$E:$E,MATCH(B249,Prestamos!$A:$A,0)))</f>
        <v/>
      </c>
      <c r="H249" s="16">
        <f>IF(B249="","",MAX(0,E249-G249))</f>
        <v/>
      </c>
      <c r="I249" s="16">
        <f>IF(B249="","",F249-H249)</f>
        <v/>
      </c>
    </row>
    <row r="250">
      <c r="A250" s="11">
        <f>IF(B250="","","PG"&amp;TEXT(ROW()-1,"0000"))</f>
        <v/>
      </c>
      <c r="B250" s="12" t="n"/>
      <c r="C250" s="11">
        <f>IF(B250="","",INDEX(Prestamos!$B:$B,MATCH(B250,Prestamos!$A:$A,0)))</f>
        <v/>
      </c>
      <c r="D250" s="13" t="n"/>
      <c r="E250" s="14" t="n"/>
      <c r="F250" s="16">
        <f>IF(B250="","",INDEX(Prestamos!$D:$D,MATCH(B250,Prestamos!$A:$A,0))-SUMIFS($H$1:H1,$B$1:B1,B250))</f>
        <v/>
      </c>
      <c r="G250" s="16">
        <f>IF(B250="","",F250*INDEX(Prestamos!$E:$E,MATCH(B250,Prestamos!$A:$A,0)))</f>
        <v/>
      </c>
      <c r="H250" s="16">
        <f>IF(B250="","",MAX(0,E250-G250))</f>
        <v/>
      </c>
      <c r="I250" s="16">
        <f>IF(B250="","",F250-H250)</f>
        <v/>
      </c>
    </row>
    <row r="251">
      <c r="A251" s="11">
        <f>IF(B251="","","PG"&amp;TEXT(ROW()-1,"0000"))</f>
        <v/>
      </c>
      <c r="B251" s="12" t="n"/>
      <c r="C251" s="11">
        <f>IF(B251="","",INDEX(Prestamos!$B:$B,MATCH(B251,Prestamos!$A:$A,0)))</f>
        <v/>
      </c>
      <c r="D251" s="13" t="n"/>
      <c r="E251" s="14" t="n"/>
      <c r="F251" s="16">
        <f>IF(B251="","",INDEX(Prestamos!$D:$D,MATCH(B251,Prestamos!$A:$A,0))-SUMIFS($H$1:H1,$B$1:B1,B251))</f>
        <v/>
      </c>
      <c r="G251" s="16">
        <f>IF(B251="","",F251*INDEX(Prestamos!$E:$E,MATCH(B251,Prestamos!$A:$A,0)))</f>
        <v/>
      </c>
      <c r="H251" s="16">
        <f>IF(B251="","",MAX(0,E251-G251))</f>
        <v/>
      </c>
      <c r="I251" s="16">
        <f>IF(B251="","",F251-H251)</f>
        <v/>
      </c>
    </row>
    <row r="252">
      <c r="A252" s="11">
        <f>IF(B252="","","PG"&amp;TEXT(ROW()-1,"0000"))</f>
        <v/>
      </c>
      <c r="B252" s="12" t="n"/>
      <c r="C252" s="11">
        <f>IF(B252="","",INDEX(Prestamos!$B:$B,MATCH(B252,Prestamos!$A:$A,0)))</f>
        <v/>
      </c>
      <c r="D252" s="13" t="n"/>
      <c r="E252" s="14" t="n"/>
      <c r="F252" s="16">
        <f>IF(B252="","",INDEX(Prestamos!$D:$D,MATCH(B252,Prestamos!$A:$A,0))-SUMIFS($H$1:H1,$B$1:B1,B252))</f>
        <v/>
      </c>
      <c r="G252" s="16">
        <f>IF(B252="","",F252*INDEX(Prestamos!$E:$E,MATCH(B252,Prestamos!$A:$A,0)))</f>
        <v/>
      </c>
      <c r="H252" s="16">
        <f>IF(B252="","",MAX(0,E252-G252))</f>
        <v/>
      </c>
      <c r="I252" s="16">
        <f>IF(B252="","",F252-H252)</f>
        <v/>
      </c>
    </row>
    <row r="253">
      <c r="A253" s="11">
        <f>IF(B253="","","PG"&amp;TEXT(ROW()-1,"0000"))</f>
        <v/>
      </c>
      <c r="B253" s="12" t="n"/>
      <c r="C253" s="11">
        <f>IF(B253="","",INDEX(Prestamos!$B:$B,MATCH(B253,Prestamos!$A:$A,0)))</f>
        <v/>
      </c>
      <c r="D253" s="13" t="n"/>
      <c r="E253" s="14" t="n"/>
      <c r="F253" s="16">
        <f>IF(B253="","",INDEX(Prestamos!$D:$D,MATCH(B253,Prestamos!$A:$A,0))-SUMIFS($H$1:H1,$B$1:B1,B253))</f>
        <v/>
      </c>
      <c r="G253" s="16">
        <f>IF(B253="","",F253*INDEX(Prestamos!$E:$E,MATCH(B253,Prestamos!$A:$A,0)))</f>
        <v/>
      </c>
      <c r="H253" s="16">
        <f>IF(B253="","",MAX(0,E253-G253))</f>
        <v/>
      </c>
      <c r="I253" s="16">
        <f>IF(B253="","",F253-H253)</f>
        <v/>
      </c>
    </row>
    <row r="254">
      <c r="A254" s="11">
        <f>IF(B254="","","PG"&amp;TEXT(ROW()-1,"0000"))</f>
        <v/>
      </c>
      <c r="B254" s="12" t="n"/>
      <c r="C254" s="11">
        <f>IF(B254="","",INDEX(Prestamos!$B:$B,MATCH(B254,Prestamos!$A:$A,0)))</f>
        <v/>
      </c>
      <c r="D254" s="13" t="n"/>
      <c r="E254" s="14" t="n"/>
      <c r="F254" s="16">
        <f>IF(B254="","",INDEX(Prestamos!$D:$D,MATCH(B254,Prestamos!$A:$A,0))-SUMIFS($H$1:H1,$B$1:B1,B254))</f>
        <v/>
      </c>
      <c r="G254" s="16">
        <f>IF(B254="","",F254*INDEX(Prestamos!$E:$E,MATCH(B254,Prestamos!$A:$A,0)))</f>
        <v/>
      </c>
      <c r="H254" s="16">
        <f>IF(B254="","",MAX(0,E254-G254))</f>
        <v/>
      </c>
      <c r="I254" s="16">
        <f>IF(B254="","",F254-H254)</f>
        <v/>
      </c>
    </row>
    <row r="255">
      <c r="A255" s="11">
        <f>IF(B255="","","PG"&amp;TEXT(ROW()-1,"0000"))</f>
        <v/>
      </c>
      <c r="B255" s="12" t="n"/>
      <c r="C255" s="11">
        <f>IF(B255="","",INDEX(Prestamos!$B:$B,MATCH(B255,Prestamos!$A:$A,0)))</f>
        <v/>
      </c>
      <c r="D255" s="13" t="n"/>
      <c r="E255" s="14" t="n"/>
      <c r="F255" s="16">
        <f>IF(B255="","",INDEX(Prestamos!$D:$D,MATCH(B255,Prestamos!$A:$A,0))-SUMIFS($H$1:H1,$B$1:B1,B255))</f>
        <v/>
      </c>
      <c r="G255" s="16">
        <f>IF(B255="","",F255*INDEX(Prestamos!$E:$E,MATCH(B255,Prestamos!$A:$A,0)))</f>
        <v/>
      </c>
      <c r="H255" s="16">
        <f>IF(B255="","",MAX(0,E255-G255))</f>
        <v/>
      </c>
      <c r="I255" s="16">
        <f>IF(B255="","",F255-H255)</f>
        <v/>
      </c>
    </row>
    <row r="256">
      <c r="A256" s="11">
        <f>IF(B256="","","PG"&amp;TEXT(ROW()-1,"0000"))</f>
        <v/>
      </c>
      <c r="B256" s="12" t="n"/>
      <c r="C256" s="11">
        <f>IF(B256="","",INDEX(Prestamos!$B:$B,MATCH(B256,Prestamos!$A:$A,0)))</f>
        <v/>
      </c>
      <c r="D256" s="13" t="n"/>
      <c r="E256" s="14" t="n"/>
      <c r="F256" s="16">
        <f>IF(B256="","",INDEX(Prestamos!$D:$D,MATCH(B256,Prestamos!$A:$A,0))-SUMIFS($H$1:H1,$B$1:B1,B256))</f>
        <v/>
      </c>
      <c r="G256" s="16">
        <f>IF(B256="","",F256*INDEX(Prestamos!$E:$E,MATCH(B256,Prestamos!$A:$A,0)))</f>
        <v/>
      </c>
      <c r="H256" s="16">
        <f>IF(B256="","",MAX(0,E256-G256))</f>
        <v/>
      </c>
      <c r="I256" s="16">
        <f>IF(B256="","",F256-H256)</f>
        <v/>
      </c>
    </row>
    <row r="257">
      <c r="A257" s="11">
        <f>IF(B257="","","PG"&amp;TEXT(ROW()-1,"0000"))</f>
        <v/>
      </c>
      <c r="B257" s="12" t="n"/>
      <c r="C257" s="11">
        <f>IF(B257="","",INDEX(Prestamos!$B:$B,MATCH(B257,Prestamos!$A:$A,0)))</f>
        <v/>
      </c>
      <c r="D257" s="13" t="n"/>
      <c r="E257" s="14" t="n"/>
      <c r="F257" s="16">
        <f>IF(B257="","",INDEX(Prestamos!$D:$D,MATCH(B257,Prestamos!$A:$A,0))-SUMIFS($H$1:H1,$B$1:B1,B257))</f>
        <v/>
      </c>
      <c r="G257" s="16">
        <f>IF(B257="","",F257*INDEX(Prestamos!$E:$E,MATCH(B257,Prestamos!$A:$A,0)))</f>
        <v/>
      </c>
      <c r="H257" s="16">
        <f>IF(B257="","",MAX(0,E257-G257))</f>
        <v/>
      </c>
      <c r="I257" s="16">
        <f>IF(B257="","",F257-H257)</f>
        <v/>
      </c>
    </row>
    <row r="258">
      <c r="A258" s="11">
        <f>IF(B258="","","PG"&amp;TEXT(ROW()-1,"0000"))</f>
        <v/>
      </c>
      <c r="B258" s="12" t="n"/>
      <c r="C258" s="11">
        <f>IF(B258="","",INDEX(Prestamos!$B:$B,MATCH(B258,Prestamos!$A:$A,0)))</f>
        <v/>
      </c>
      <c r="D258" s="13" t="n"/>
      <c r="E258" s="14" t="n"/>
      <c r="F258" s="16">
        <f>IF(B258="","",INDEX(Prestamos!$D:$D,MATCH(B258,Prestamos!$A:$A,0))-SUMIFS($H$1:H1,$B$1:B1,B258))</f>
        <v/>
      </c>
      <c r="G258" s="16">
        <f>IF(B258="","",F258*INDEX(Prestamos!$E:$E,MATCH(B258,Prestamos!$A:$A,0)))</f>
        <v/>
      </c>
      <c r="H258" s="16">
        <f>IF(B258="","",MAX(0,E258-G258))</f>
        <v/>
      </c>
      <c r="I258" s="16">
        <f>IF(B258="","",F258-H258)</f>
        <v/>
      </c>
    </row>
    <row r="259">
      <c r="A259" s="11">
        <f>IF(B259="","","PG"&amp;TEXT(ROW()-1,"0000"))</f>
        <v/>
      </c>
      <c r="B259" s="12" t="n"/>
      <c r="C259" s="11">
        <f>IF(B259="","",INDEX(Prestamos!$B:$B,MATCH(B259,Prestamos!$A:$A,0)))</f>
        <v/>
      </c>
      <c r="D259" s="13" t="n"/>
      <c r="E259" s="14" t="n"/>
      <c r="F259" s="16">
        <f>IF(B259="","",INDEX(Prestamos!$D:$D,MATCH(B259,Prestamos!$A:$A,0))-SUMIFS($H$1:H1,$B$1:B1,B259))</f>
        <v/>
      </c>
      <c r="G259" s="16">
        <f>IF(B259="","",F259*INDEX(Prestamos!$E:$E,MATCH(B259,Prestamos!$A:$A,0)))</f>
        <v/>
      </c>
      <c r="H259" s="16">
        <f>IF(B259="","",MAX(0,E259-G259))</f>
        <v/>
      </c>
      <c r="I259" s="16">
        <f>IF(B259="","",F259-H259)</f>
        <v/>
      </c>
    </row>
    <row r="260">
      <c r="A260" s="11">
        <f>IF(B260="","","PG"&amp;TEXT(ROW()-1,"0000"))</f>
        <v/>
      </c>
      <c r="B260" s="12" t="n"/>
      <c r="C260" s="11">
        <f>IF(B260="","",INDEX(Prestamos!$B:$B,MATCH(B260,Prestamos!$A:$A,0)))</f>
        <v/>
      </c>
      <c r="D260" s="13" t="n"/>
      <c r="E260" s="14" t="n"/>
      <c r="F260" s="16">
        <f>IF(B260="","",INDEX(Prestamos!$D:$D,MATCH(B260,Prestamos!$A:$A,0))-SUMIFS($H$1:H1,$B$1:B1,B260))</f>
        <v/>
      </c>
      <c r="G260" s="16">
        <f>IF(B260="","",F260*INDEX(Prestamos!$E:$E,MATCH(B260,Prestamos!$A:$A,0)))</f>
        <v/>
      </c>
      <c r="H260" s="16">
        <f>IF(B260="","",MAX(0,E260-G260))</f>
        <v/>
      </c>
      <c r="I260" s="16">
        <f>IF(B260="","",F260-H260)</f>
        <v/>
      </c>
    </row>
    <row r="261">
      <c r="A261" s="11">
        <f>IF(B261="","","PG"&amp;TEXT(ROW()-1,"0000"))</f>
        <v/>
      </c>
      <c r="B261" s="12" t="n"/>
      <c r="C261" s="11">
        <f>IF(B261="","",INDEX(Prestamos!$B:$B,MATCH(B261,Prestamos!$A:$A,0)))</f>
        <v/>
      </c>
      <c r="D261" s="13" t="n"/>
      <c r="E261" s="14" t="n"/>
      <c r="F261" s="16">
        <f>IF(B261="","",INDEX(Prestamos!$D:$D,MATCH(B261,Prestamos!$A:$A,0))-SUMIFS($H$1:H1,$B$1:B1,B261))</f>
        <v/>
      </c>
      <c r="G261" s="16">
        <f>IF(B261="","",F261*INDEX(Prestamos!$E:$E,MATCH(B261,Prestamos!$A:$A,0)))</f>
        <v/>
      </c>
      <c r="H261" s="16">
        <f>IF(B261="","",MAX(0,E261-G261))</f>
        <v/>
      </c>
      <c r="I261" s="16">
        <f>IF(B261="","",F261-H261)</f>
        <v/>
      </c>
    </row>
    <row r="262">
      <c r="A262" s="11">
        <f>IF(B262="","","PG"&amp;TEXT(ROW()-1,"0000"))</f>
        <v/>
      </c>
      <c r="B262" s="12" t="n"/>
      <c r="C262" s="11">
        <f>IF(B262="","",INDEX(Prestamos!$B:$B,MATCH(B262,Prestamos!$A:$A,0)))</f>
        <v/>
      </c>
      <c r="D262" s="13" t="n"/>
      <c r="E262" s="14" t="n"/>
      <c r="F262" s="16">
        <f>IF(B262="","",INDEX(Prestamos!$D:$D,MATCH(B262,Prestamos!$A:$A,0))-SUMIFS($H$1:H1,$B$1:B1,B262))</f>
        <v/>
      </c>
      <c r="G262" s="16">
        <f>IF(B262="","",F262*INDEX(Prestamos!$E:$E,MATCH(B262,Prestamos!$A:$A,0)))</f>
        <v/>
      </c>
      <c r="H262" s="16">
        <f>IF(B262="","",MAX(0,E262-G262))</f>
        <v/>
      </c>
      <c r="I262" s="16">
        <f>IF(B262="","",F262-H262)</f>
        <v/>
      </c>
    </row>
    <row r="263">
      <c r="A263" s="11">
        <f>IF(B263="","","PG"&amp;TEXT(ROW()-1,"0000"))</f>
        <v/>
      </c>
      <c r="B263" s="12" t="n"/>
      <c r="C263" s="11">
        <f>IF(B263="","",INDEX(Prestamos!$B:$B,MATCH(B263,Prestamos!$A:$A,0)))</f>
        <v/>
      </c>
      <c r="D263" s="13" t="n"/>
      <c r="E263" s="14" t="n"/>
      <c r="F263" s="16">
        <f>IF(B263="","",INDEX(Prestamos!$D:$D,MATCH(B263,Prestamos!$A:$A,0))-SUMIFS($H$1:H1,$B$1:B1,B263))</f>
        <v/>
      </c>
      <c r="G263" s="16">
        <f>IF(B263="","",F263*INDEX(Prestamos!$E:$E,MATCH(B263,Prestamos!$A:$A,0)))</f>
        <v/>
      </c>
      <c r="H263" s="16">
        <f>IF(B263="","",MAX(0,E263-G263))</f>
        <v/>
      </c>
      <c r="I263" s="16">
        <f>IF(B263="","",F263-H263)</f>
        <v/>
      </c>
    </row>
    <row r="264">
      <c r="A264" s="11">
        <f>IF(B264="","","PG"&amp;TEXT(ROW()-1,"0000"))</f>
        <v/>
      </c>
      <c r="B264" s="12" t="n"/>
      <c r="C264" s="11">
        <f>IF(B264="","",INDEX(Prestamos!$B:$B,MATCH(B264,Prestamos!$A:$A,0)))</f>
        <v/>
      </c>
      <c r="D264" s="13" t="n"/>
      <c r="E264" s="14" t="n"/>
      <c r="F264" s="16">
        <f>IF(B264="","",INDEX(Prestamos!$D:$D,MATCH(B264,Prestamos!$A:$A,0))-SUMIFS($H$1:H1,$B$1:B1,B264))</f>
        <v/>
      </c>
      <c r="G264" s="16">
        <f>IF(B264="","",F264*INDEX(Prestamos!$E:$E,MATCH(B264,Prestamos!$A:$A,0)))</f>
        <v/>
      </c>
      <c r="H264" s="16">
        <f>IF(B264="","",MAX(0,E264-G264))</f>
        <v/>
      </c>
      <c r="I264" s="16">
        <f>IF(B264="","",F264-H264)</f>
        <v/>
      </c>
    </row>
    <row r="265">
      <c r="A265" s="11">
        <f>IF(B265="","","PG"&amp;TEXT(ROW()-1,"0000"))</f>
        <v/>
      </c>
      <c r="B265" s="12" t="n"/>
      <c r="C265" s="11">
        <f>IF(B265="","",INDEX(Prestamos!$B:$B,MATCH(B265,Prestamos!$A:$A,0)))</f>
        <v/>
      </c>
      <c r="D265" s="13" t="n"/>
      <c r="E265" s="14" t="n"/>
      <c r="F265" s="16">
        <f>IF(B265="","",INDEX(Prestamos!$D:$D,MATCH(B265,Prestamos!$A:$A,0))-SUMIFS($H$1:H1,$B$1:B1,B265))</f>
        <v/>
      </c>
      <c r="G265" s="16">
        <f>IF(B265="","",F265*INDEX(Prestamos!$E:$E,MATCH(B265,Prestamos!$A:$A,0)))</f>
        <v/>
      </c>
      <c r="H265" s="16">
        <f>IF(B265="","",MAX(0,E265-G265))</f>
        <v/>
      </c>
      <c r="I265" s="16">
        <f>IF(B265="","",F265-H265)</f>
        <v/>
      </c>
    </row>
    <row r="266">
      <c r="A266" s="11">
        <f>IF(B266="","","PG"&amp;TEXT(ROW()-1,"0000"))</f>
        <v/>
      </c>
      <c r="B266" s="12" t="n"/>
      <c r="C266" s="11">
        <f>IF(B266="","",INDEX(Prestamos!$B:$B,MATCH(B266,Prestamos!$A:$A,0)))</f>
        <v/>
      </c>
      <c r="D266" s="13" t="n"/>
      <c r="E266" s="14" t="n"/>
      <c r="F266" s="16">
        <f>IF(B266="","",INDEX(Prestamos!$D:$D,MATCH(B266,Prestamos!$A:$A,0))-SUMIFS($H$1:H1,$B$1:B1,B266))</f>
        <v/>
      </c>
      <c r="G266" s="16">
        <f>IF(B266="","",F266*INDEX(Prestamos!$E:$E,MATCH(B266,Prestamos!$A:$A,0)))</f>
        <v/>
      </c>
      <c r="H266" s="16">
        <f>IF(B266="","",MAX(0,E266-G266))</f>
        <v/>
      </c>
      <c r="I266" s="16">
        <f>IF(B266="","",F266-H266)</f>
        <v/>
      </c>
    </row>
    <row r="267">
      <c r="A267" s="11">
        <f>IF(B267="","","PG"&amp;TEXT(ROW()-1,"0000"))</f>
        <v/>
      </c>
      <c r="B267" s="12" t="n"/>
      <c r="C267" s="11">
        <f>IF(B267="","",INDEX(Prestamos!$B:$B,MATCH(B267,Prestamos!$A:$A,0)))</f>
        <v/>
      </c>
      <c r="D267" s="13" t="n"/>
      <c r="E267" s="14" t="n"/>
      <c r="F267" s="16">
        <f>IF(B267="","",INDEX(Prestamos!$D:$D,MATCH(B267,Prestamos!$A:$A,0))-SUMIFS($H$1:H1,$B$1:B1,B267))</f>
        <v/>
      </c>
      <c r="G267" s="16">
        <f>IF(B267="","",F267*INDEX(Prestamos!$E:$E,MATCH(B267,Prestamos!$A:$A,0)))</f>
        <v/>
      </c>
      <c r="H267" s="16">
        <f>IF(B267="","",MAX(0,E267-G267))</f>
        <v/>
      </c>
      <c r="I267" s="16">
        <f>IF(B267="","",F267-H267)</f>
        <v/>
      </c>
    </row>
    <row r="268">
      <c r="A268" s="11">
        <f>IF(B268="","","PG"&amp;TEXT(ROW()-1,"0000"))</f>
        <v/>
      </c>
      <c r="B268" s="12" t="n"/>
      <c r="C268" s="11">
        <f>IF(B268="","",INDEX(Prestamos!$B:$B,MATCH(B268,Prestamos!$A:$A,0)))</f>
        <v/>
      </c>
      <c r="D268" s="13" t="n"/>
      <c r="E268" s="14" t="n"/>
      <c r="F268" s="16">
        <f>IF(B268="","",INDEX(Prestamos!$D:$D,MATCH(B268,Prestamos!$A:$A,0))-SUMIFS($H$1:H1,$B$1:B1,B268))</f>
        <v/>
      </c>
      <c r="G268" s="16">
        <f>IF(B268="","",F268*INDEX(Prestamos!$E:$E,MATCH(B268,Prestamos!$A:$A,0)))</f>
        <v/>
      </c>
      <c r="H268" s="16">
        <f>IF(B268="","",MAX(0,E268-G268))</f>
        <v/>
      </c>
      <c r="I268" s="16">
        <f>IF(B268="","",F268-H268)</f>
        <v/>
      </c>
    </row>
    <row r="269">
      <c r="A269" s="11">
        <f>IF(B269="","","PG"&amp;TEXT(ROW()-1,"0000"))</f>
        <v/>
      </c>
      <c r="B269" s="12" t="n"/>
      <c r="C269" s="11">
        <f>IF(B269="","",INDEX(Prestamos!$B:$B,MATCH(B269,Prestamos!$A:$A,0)))</f>
        <v/>
      </c>
      <c r="D269" s="13" t="n"/>
      <c r="E269" s="14" t="n"/>
      <c r="F269" s="16">
        <f>IF(B269="","",INDEX(Prestamos!$D:$D,MATCH(B269,Prestamos!$A:$A,0))-SUMIFS($H$1:H1,$B$1:B1,B269))</f>
        <v/>
      </c>
      <c r="G269" s="16">
        <f>IF(B269="","",F269*INDEX(Prestamos!$E:$E,MATCH(B269,Prestamos!$A:$A,0)))</f>
        <v/>
      </c>
      <c r="H269" s="16">
        <f>IF(B269="","",MAX(0,E269-G269))</f>
        <v/>
      </c>
      <c r="I269" s="16">
        <f>IF(B269="","",F269-H269)</f>
        <v/>
      </c>
    </row>
    <row r="270">
      <c r="A270" s="11">
        <f>IF(B270="","","PG"&amp;TEXT(ROW()-1,"0000"))</f>
        <v/>
      </c>
      <c r="B270" s="12" t="n"/>
      <c r="C270" s="11">
        <f>IF(B270="","",INDEX(Prestamos!$B:$B,MATCH(B270,Prestamos!$A:$A,0)))</f>
        <v/>
      </c>
      <c r="D270" s="13" t="n"/>
      <c r="E270" s="14" t="n"/>
      <c r="F270" s="16">
        <f>IF(B270="","",INDEX(Prestamos!$D:$D,MATCH(B270,Prestamos!$A:$A,0))-SUMIFS($H$1:H1,$B$1:B1,B270))</f>
        <v/>
      </c>
      <c r="G270" s="16">
        <f>IF(B270="","",F270*INDEX(Prestamos!$E:$E,MATCH(B270,Prestamos!$A:$A,0)))</f>
        <v/>
      </c>
      <c r="H270" s="16">
        <f>IF(B270="","",MAX(0,E270-G270))</f>
        <v/>
      </c>
      <c r="I270" s="16">
        <f>IF(B270="","",F270-H270)</f>
        <v/>
      </c>
    </row>
    <row r="271">
      <c r="A271" s="11">
        <f>IF(B271="","","PG"&amp;TEXT(ROW()-1,"0000"))</f>
        <v/>
      </c>
      <c r="B271" s="12" t="n"/>
      <c r="C271" s="11">
        <f>IF(B271="","",INDEX(Prestamos!$B:$B,MATCH(B271,Prestamos!$A:$A,0)))</f>
        <v/>
      </c>
      <c r="D271" s="13" t="n"/>
      <c r="E271" s="14" t="n"/>
      <c r="F271" s="16">
        <f>IF(B271="","",INDEX(Prestamos!$D:$D,MATCH(B271,Prestamos!$A:$A,0))-SUMIFS($H$1:H1,$B$1:B1,B271))</f>
        <v/>
      </c>
      <c r="G271" s="16">
        <f>IF(B271="","",F271*INDEX(Prestamos!$E:$E,MATCH(B271,Prestamos!$A:$A,0)))</f>
        <v/>
      </c>
      <c r="H271" s="16">
        <f>IF(B271="","",MAX(0,E271-G271))</f>
        <v/>
      </c>
      <c r="I271" s="16">
        <f>IF(B271="","",F271-H271)</f>
        <v/>
      </c>
    </row>
    <row r="272">
      <c r="A272" s="11">
        <f>IF(B272="","","PG"&amp;TEXT(ROW()-1,"0000"))</f>
        <v/>
      </c>
      <c r="B272" s="12" t="n"/>
      <c r="C272" s="11">
        <f>IF(B272="","",INDEX(Prestamos!$B:$B,MATCH(B272,Prestamos!$A:$A,0)))</f>
        <v/>
      </c>
      <c r="D272" s="13" t="n"/>
      <c r="E272" s="14" t="n"/>
      <c r="F272" s="16">
        <f>IF(B272="","",INDEX(Prestamos!$D:$D,MATCH(B272,Prestamos!$A:$A,0))-SUMIFS($H$1:H1,$B$1:B1,B272))</f>
        <v/>
      </c>
      <c r="G272" s="16">
        <f>IF(B272="","",F272*INDEX(Prestamos!$E:$E,MATCH(B272,Prestamos!$A:$A,0)))</f>
        <v/>
      </c>
      <c r="H272" s="16">
        <f>IF(B272="","",MAX(0,E272-G272))</f>
        <v/>
      </c>
      <c r="I272" s="16">
        <f>IF(B272="","",F272-H272)</f>
        <v/>
      </c>
    </row>
    <row r="273">
      <c r="A273" s="11">
        <f>IF(B273="","","PG"&amp;TEXT(ROW()-1,"0000"))</f>
        <v/>
      </c>
      <c r="B273" s="12" t="n"/>
      <c r="C273" s="11">
        <f>IF(B273="","",INDEX(Prestamos!$B:$B,MATCH(B273,Prestamos!$A:$A,0)))</f>
        <v/>
      </c>
      <c r="D273" s="13" t="n"/>
      <c r="E273" s="14" t="n"/>
      <c r="F273" s="16">
        <f>IF(B273="","",INDEX(Prestamos!$D:$D,MATCH(B273,Prestamos!$A:$A,0))-SUMIFS($H$1:H1,$B$1:B1,B273))</f>
        <v/>
      </c>
      <c r="G273" s="16">
        <f>IF(B273="","",F273*INDEX(Prestamos!$E:$E,MATCH(B273,Prestamos!$A:$A,0)))</f>
        <v/>
      </c>
      <c r="H273" s="16">
        <f>IF(B273="","",MAX(0,E273-G273))</f>
        <v/>
      </c>
      <c r="I273" s="16">
        <f>IF(B273="","",F273-H273)</f>
        <v/>
      </c>
    </row>
    <row r="274">
      <c r="A274" s="11">
        <f>IF(B274="","","PG"&amp;TEXT(ROW()-1,"0000"))</f>
        <v/>
      </c>
      <c r="B274" s="12" t="n"/>
      <c r="C274" s="11">
        <f>IF(B274="","",INDEX(Prestamos!$B:$B,MATCH(B274,Prestamos!$A:$A,0)))</f>
        <v/>
      </c>
      <c r="D274" s="13" t="n"/>
      <c r="E274" s="14" t="n"/>
      <c r="F274" s="16">
        <f>IF(B274="","",INDEX(Prestamos!$D:$D,MATCH(B274,Prestamos!$A:$A,0))-SUMIFS($H$1:H1,$B$1:B1,B274))</f>
        <v/>
      </c>
      <c r="G274" s="16">
        <f>IF(B274="","",F274*INDEX(Prestamos!$E:$E,MATCH(B274,Prestamos!$A:$A,0)))</f>
        <v/>
      </c>
      <c r="H274" s="16">
        <f>IF(B274="","",MAX(0,E274-G274))</f>
        <v/>
      </c>
      <c r="I274" s="16">
        <f>IF(B274="","",F274-H274)</f>
        <v/>
      </c>
    </row>
    <row r="275">
      <c r="A275" s="11">
        <f>IF(B275="","","PG"&amp;TEXT(ROW()-1,"0000"))</f>
        <v/>
      </c>
      <c r="B275" s="12" t="n"/>
      <c r="C275" s="11">
        <f>IF(B275="","",INDEX(Prestamos!$B:$B,MATCH(B275,Prestamos!$A:$A,0)))</f>
        <v/>
      </c>
      <c r="D275" s="13" t="n"/>
      <c r="E275" s="14" t="n"/>
      <c r="F275" s="16">
        <f>IF(B275="","",INDEX(Prestamos!$D:$D,MATCH(B275,Prestamos!$A:$A,0))-SUMIFS($H$1:H1,$B$1:B1,B275))</f>
        <v/>
      </c>
      <c r="G275" s="16">
        <f>IF(B275="","",F275*INDEX(Prestamos!$E:$E,MATCH(B275,Prestamos!$A:$A,0)))</f>
        <v/>
      </c>
      <c r="H275" s="16">
        <f>IF(B275="","",MAX(0,E275-G275))</f>
        <v/>
      </c>
      <c r="I275" s="16">
        <f>IF(B275="","",F275-H275)</f>
        <v/>
      </c>
    </row>
    <row r="276">
      <c r="A276" s="11">
        <f>IF(B276="","","PG"&amp;TEXT(ROW()-1,"0000"))</f>
        <v/>
      </c>
      <c r="B276" s="12" t="n"/>
      <c r="C276" s="11">
        <f>IF(B276="","",INDEX(Prestamos!$B:$B,MATCH(B276,Prestamos!$A:$A,0)))</f>
        <v/>
      </c>
      <c r="D276" s="13" t="n"/>
      <c r="E276" s="14" t="n"/>
      <c r="F276" s="16">
        <f>IF(B276="","",INDEX(Prestamos!$D:$D,MATCH(B276,Prestamos!$A:$A,0))-SUMIFS($H$1:H1,$B$1:B1,B276))</f>
        <v/>
      </c>
      <c r="G276" s="16">
        <f>IF(B276="","",F276*INDEX(Prestamos!$E:$E,MATCH(B276,Prestamos!$A:$A,0)))</f>
        <v/>
      </c>
      <c r="H276" s="16">
        <f>IF(B276="","",MAX(0,E276-G276))</f>
        <v/>
      </c>
      <c r="I276" s="16">
        <f>IF(B276="","",F276-H276)</f>
        <v/>
      </c>
    </row>
    <row r="277">
      <c r="A277" s="11">
        <f>IF(B277="","","PG"&amp;TEXT(ROW()-1,"0000"))</f>
        <v/>
      </c>
      <c r="B277" s="12" t="n"/>
      <c r="C277" s="11">
        <f>IF(B277="","",INDEX(Prestamos!$B:$B,MATCH(B277,Prestamos!$A:$A,0)))</f>
        <v/>
      </c>
      <c r="D277" s="13" t="n"/>
      <c r="E277" s="14" t="n"/>
      <c r="F277" s="16">
        <f>IF(B277="","",INDEX(Prestamos!$D:$D,MATCH(B277,Prestamos!$A:$A,0))-SUMIFS($H$1:H1,$B$1:B1,B277))</f>
        <v/>
      </c>
      <c r="G277" s="16">
        <f>IF(B277="","",F277*INDEX(Prestamos!$E:$E,MATCH(B277,Prestamos!$A:$A,0)))</f>
        <v/>
      </c>
      <c r="H277" s="16">
        <f>IF(B277="","",MAX(0,E277-G277))</f>
        <v/>
      </c>
      <c r="I277" s="16">
        <f>IF(B277="","",F277-H277)</f>
        <v/>
      </c>
    </row>
    <row r="278">
      <c r="A278" s="11">
        <f>IF(B278="","","PG"&amp;TEXT(ROW()-1,"0000"))</f>
        <v/>
      </c>
      <c r="B278" s="12" t="n"/>
      <c r="C278" s="11">
        <f>IF(B278="","",INDEX(Prestamos!$B:$B,MATCH(B278,Prestamos!$A:$A,0)))</f>
        <v/>
      </c>
      <c r="D278" s="13" t="n"/>
      <c r="E278" s="14" t="n"/>
      <c r="F278" s="16">
        <f>IF(B278="","",INDEX(Prestamos!$D:$D,MATCH(B278,Prestamos!$A:$A,0))-SUMIFS($H$1:H1,$B$1:B1,B278))</f>
        <v/>
      </c>
      <c r="G278" s="16">
        <f>IF(B278="","",F278*INDEX(Prestamos!$E:$E,MATCH(B278,Prestamos!$A:$A,0)))</f>
        <v/>
      </c>
      <c r="H278" s="16">
        <f>IF(B278="","",MAX(0,E278-G278))</f>
        <v/>
      </c>
      <c r="I278" s="16">
        <f>IF(B278="","",F278-H278)</f>
        <v/>
      </c>
    </row>
    <row r="279">
      <c r="A279" s="11">
        <f>IF(B279="","","PG"&amp;TEXT(ROW()-1,"0000"))</f>
        <v/>
      </c>
      <c r="B279" s="12" t="n"/>
      <c r="C279" s="11">
        <f>IF(B279="","",INDEX(Prestamos!$B:$B,MATCH(B279,Prestamos!$A:$A,0)))</f>
        <v/>
      </c>
      <c r="D279" s="13" t="n"/>
      <c r="E279" s="14" t="n"/>
      <c r="F279" s="16">
        <f>IF(B279="","",INDEX(Prestamos!$D:$D,MATCH(B279,Prestamos!$A:$A,0))-SUMIFS($H$1:H1,$B$1:B1,B279))</f>
        <v/>
      </c>
      <c r="G279" s="16">
        <f>IF(B279="","",F279*INDEX(Prestamos!$E:$E,MATCH(B279,Prestamos!$A:$A,0)))</f>
        <v/>
      </c>
      <c r="H279" s="16">
        <f>IF(B279="","",MAX(0,E279-G279))</f>
        <v/>
      </c>
      <c r="I279" s="16">
        <f>IF(B279="","",F279-H279)</f>
        <v/>
      </c>
    </row>
    <row r="280">
      <c r="A280" s="11">
        <f>IF(B280="","","PG"&amp;TEXT(ROW()-1,"0000"))</f>
        <v/>
      </c>
      <c r="B280" s="12" t="n"/>
      <c r="C280" s="11">
        <f>IF(B280="","",INDEX(Prestamos!$B:$B,MATCH(B280,Prestamos!$A:$A,0)))</f>
        <v/>
      </c>
      <c r="D280" s="13" t="n"/>
      <c r="E280" s="14" t="n"/>
      <c r="F280" s="16">
        <f>IF(B280="","",INDEX(Prestamos!$D:$D,MATCH(B280,Prestamos!$A:$A,0))-SUMIFS($H$1:H1,$B$1:B1,B280))</f>
        <v/>
      </c>
      <c r="G280" s="16">
        <f>IF(B280="","",F280*INDEX(Prestamos!$E:$E,MATCH(B280,Prestamos!$A:$A,0)))</f>
        <v/>
      </c>
      <c r="H280" s="16">
        <f>IF(B280="","",MAX(0,E280-G280))</f>
        <v/>
      </c>
      <c r="I280" s="16">
        <f>IF(B280="","",F280-H280)</f>
        <v/>
      </c>
    </row>
    <row r="281">
      <c r="A281" s="11">
        <f>IF(B281="","","PG"&amp;TEXT(ROW()-1,"0000"))</f>
        <v/>
      </c>
      <c r="B281" s="12" t="n"/>
      <c r="C281" s="11">
        <f>IF(B281="","",INDEX(Prestamos!$B:$B,MATCH(B281,Prestamos!$A:$A,0)))</f>
        <v/>
      </c>
      <c r="D281" s="13" t="n"/>
      <c r="E281" s="14" t="n"/>
      <c r="F281" s="16">
        <f>IF(B281="","",INDEX(Prestamos!$D:$D,MATCH(B281,Prestamos!$A:$A,0))-SUMIFS($H$1:H1,$B$1:B1,B281))</f>
        <v/>
      </c>
      <c r="G281" s="16">
        <f>IF(B281="","",F281*INDEX(Prestamos!$E:$E,MATCH(B281,Prestamos!$A:$A,0)))</f>
        <v/>
      </c>
      <c r="H281" s="16">
        <f>IF(B281="","",MAX(0,E281-G281))</f>
        <v/>
      </c>
      <c r="I281" s="16">
        <f>IF(B281="","",F281-H281)</f>
        <v/>
      </c>
    </row>
    <row r="282">
      <c r="A282" s="11">
        <f>IF(B282="","","PG"&amp;TEXT(ROW()-1,"0000"))</f>
        <v/>
      </c>
      <c r="B282" s="12" t="n"/>
      <c r="C282" s="11">
        <f>IF(B282="","",INDEX(Prestamos!$B:$B,MATCH(B282,Prestamos!$A:$A,0)))</f>
        <v/>
      </c>
      <c r="D282" s="13" t="n"/>
      <c r="E282" s="14" t="n"/>
      <c r="F282" s="16">
        <f>IF(B282="","",INDEX(Prestamos!$D:$D,MATCH(B282,Prestamos!$A:$A,0))-SUMIFS($H$1:H1,$B$1:B1,B282))</f>
        <v/>
      </c>
      <c r="G282" s="16">
        <f>IF(B282="","",F282*INDEX(Prestamos!$E:$E,MATCH(B282,Prestamos!$A:$A,0)))</f>
        <v/>
      </c>
      <c r="H282" s="16">
        <f>IF(B282="","",MAX(0,E282-G282))</f>
        <v/>
      </c>
      <c r="I282" s="16">
        <f>IF(B282="","",F282-H282)</f>
        <v/>
      </c>
    </row>
    <row r="283">
      <c r="A283" s="11">
        <f>IF(B283="","","PG"&amp;TEXT(ROW()-1,"0000"))</f>
        <v/>
      </c>
      <c r="B283" s="12" t="n"/>
      <c r="C283" s="11">
        <f>IF(B283="","",INDEX(Prestamos!$B:$B,MATCH(B283,Prestamos!$A:$A,0)))</f>
        <v/>
      </c>
      <c r="D283" s="13" t="n"/>
      <c r="E283" s="14" t="n"/>
      <c r="F283" s="16">
        <f>IF(B283="","",INDEX(Prestamos!$D:$D,MATCH(B283,Prestamos!$A:$A,0))-SUMIFS($H$1:H1,$B$1:B1,B283))</f>
        <v/>
      </c>
      <c r="G283" s="16">
        <f>IF(B283="","",F283*INDEX(Prestamos!$E:$E,MATCH(B283,Prestamos!$A:$A,0)))</f>
        <v/>
      </c>
      <c r="H283" s="16">
        <f>IF(B283="","",MAX(0,E283-G283))</f>
        <v/>
      </c>
      <c r="I283" s="16">
        <f>IF(B283="","",F283-H283)</f>
        <v/>
      </c>
    </row>
    <row r="284">
      <c r="A284" s="11">
        <f>IF(B284="","","PG"&amp;TEXT(ROW()-1,"0000"))</f>
        <v/>
      </c>
      <c r="B284" s="12" t="n"/>
      <c r="C284" s="11">
        <f>IF(B284="","",INDEX(Prestamos!$B:$B,MATCH(B284,Prestamos!$A:$A,0)))</f>
        <v/>
      </c>
      <c r="D284" s="13" t="n"/>
      <c r="E284" s="14" t="n"/>
      <c r="F284" s="16">
        <f>IF(B284="","",INDEX(Prestamos!$D:$D,MATCH(B284,Prestamos!$A:$A,0))-SUMIFS($H$1:H1,$B$1:B1,B284))</f>
        <v/>
      </c>
      <c r="G284" s="16">
        <f>IF(B284="","",F284*INDEX(Prestamos!$E:$E,MATCH(B284,Prestamos!$A:$A,0)))</f>
        <v/>
      </c>
      <c r="H284" s="16">
        <f>IF(B284="","",MAX(0,E284-G284))</f>
        <v/>
      </c>
      <c r="I284" s="16">
        <f>IF(B284="","",F284-H284)</f>
        <v/>
      </c>
    </row>
    <row r="285">
      <c r="A285" s="11">
        <f>IF(B285="","","PG"&amp;TEXT(ROW()-1,"0000"))</f>
        <v/>
      </c>
      <c r="B285" s="12" t="n"/>
      <c r="C285" s="11">
        <f>IF(B285="","",INDEX(Prestamos!$B:$B,MATCH(B285,Prestamos!$A:$A,0)))</f>
        <v/>
      </c>
      <c r="D285" s="13" t="n"/>
      <c r="E285" s="14" t="n"/>
      <c r="F285" s="16">
        <f>IF(B285="","",INDEX(Prestamos!$D:$D,MATCH(B285,Prestamos!$A:$A,0))-SUMIFS($H$1:H1,$B$1:B1,B285))</f>
        <v/>
      </c>
      <c r="G285" s="16">
        <f>IF(B285="","",F285*INDEX(Prestamos!$E:$E,MATCH(B285,Prestamos!$A:$A,0)))</f>
        <v/>
      </c>
      <c r="H285" s="16">
        <f>IF(B285="","",MAX(0,E285-G285))</f>
        <v/>
      </c>
      <c r="I285" s="16">
        <f>IF(B285="","",F285-H285)</f>
        <v/>
      </c>
    </row>
    <row r="286">
      <c r="A286" s="11">
        <f>IF(B286="","","PG"&amp;TEXT(ROW()-1,"0000"))</f>
        <v/>
      </c>
      <c r="B286" s="12" t="n"/>
      <c r="C286" s="11">
        <f>IF(B286="","",INDEX(Prestamos!$B:$B,MATCH(B286,Prestamos!$A:$A,0)))</f>
        <v/>
      </c>
      <c r="D286" s="13" t="n"/>
      <c r="E286" s="14" t="n"/>
      <c r="F286" s="16">
        <f>IF(B286="","",INDEX(Prestamos!$D:$D,MATCH(B286,Prestamos!$A:$A,0))-SUMIFS($H$1:H1,$B$1:B1,B286))</f>
        <v/>
      </c>
      <c r="G286" s="16">
        <f>IF(B286="","",F286*INDEX(Prestamos!$E:$E,MATCH(B286,Prestamos!$A:$A,0)))</f>
        <v/>
      </c>
      <c r="H286" s="16">
        <f>IF(B286="","",MAX(0,E286-G286))</f>
        <v/>
      </c>
      <c r="I286" s="16">
        <f>IF(B286="","",F286-H286)</f>
        <v/>
      </c>
    </row>
    <row r="287">
      <c r="A287" s="11">
        <f>IF(B287="","","PG"&amp;TEXT(ROW()-1,"0000"))</f>
        <v/>
      </c>
      <c r="B287" s="12" t="n"/>
      <c r="C287" s="11">
        <f>IF(B287="","",INDEX(Prestamos!$B:$B,MATCH(B287,Prestamos!$A:$A,0)))</f>
        <v/>
      </c>
      <c r="D287" s="13" t="n"/>
      <c r="E287" s="14" t="n"/>
      <c r="F287" s="16">
        <f>IF(B287="","",INDEX(Prestamos!$D:$D,MATCH(B287,Prestamos!$A:$A,0))-SUMIFS($H$1:H1,$B$1:B1,B287))</f>
        <v/>
      </c>
      <c r="G287" s="16">
        <f>IF(B287="","",F287*INDEX(Prestamos!$E:$E,MATCH(B287,Prestamos!$A:$A,0)))</f>
        <v/>
      </c>
      <c r="H287" s="16">
        <f>IF(B287="","",MAX(0,E287-G287))</f>
        <v/>
      </c>
      <c r="I287" s="16">
        <f>IF(B287="","",F287-H287)</f>
        <v/>
      </c>
    </row>
    <row r="288">
      <c r="A288" s="11">
        <f>IF(B288="","","PG"&amp;TEXT(ROW()-1,"0000"))</f>
        <v/>
      </c>
      <c r="B288" s="12" t="n"/>
      <c r="C288" s="11">
        <f>IF(B288="","",INDEX(Prestamos!$B:$B,MATCH(B288,Prestamos!$A:$A,0)))</f>
        <v/>
      </c>
      <c r="D288" s="13" t="n"/>
      <c r="E288" s="14" t="n"/>
      <c r="F288" s="16">
        <f>IF(B288="","",INDEX(Prestamos!$D:$D,MATCH(B288,Prestamos!$A:$A,0))-SUMIFS($H$1:H1,$B$1:B1,B288))</f>
        <v/>
      </c>
      <c r="G288" s="16">
        <f>IF(B288="","",F288*INDEX(Prestamos!$E:$E,MATCH(B288,Prestamos!$A:$A,0)))</f>
        <v/>
      </c>
      <c r="H288" s="16">
        <f>IF(B288="","",MAX(0,E288-G288))</f>
        <v/>
      </c>
      <c r="I288" s="16">
        <f>IF(B288="","",F288-H288)</f>
        <v/>
      </c>
    </row>
    <row r="289">
      <c r="A289" s="11">
        <f>IF(B289="","","PG"&amp;TEXT(ROW()-1,"0000"))</f>
        <v/>
      </c>
      <c r="B289" s="12" t="n"/>
      <c r="C289" s="11">
        <f>IF(B289="","",INDEX(Prestamos!$B:$B,MATCH(B289,Prestamos!$A:$A,0)))</f>
        <v/>
      </c>
      <c r="D289" s="13" t="n"/>
      <c r="E289" s="14" t="n"/>
      <c r="F289" s="16">
        <f>IF(B289="","",INDEX(Prestamos!$D:$D,MATCH(B289,Prestamos!$A:$A,0))-SUMIFS($H$1:H1,$B$1:B1,B289))</f>
        <v/>
      </c>
      <c r="G289" s="16">
        <f>IF(B289="","",F289*INDEX(Prestamos!$E:$E,MATCH(B289,Prestamos!$A:$A,0)))</f>
        <v/>
      </c>
      <c r="H289" s="16">
        <f>IF(B289="","",MAX(0,E289-G289))</f>
        <v/>
      </c>
      <c r="I289" s="16">
        <f>IF(B289="","",F289-H289)</f>
        <v/>
      </c>
    </row>
    <row r="290">
      <c r="A290" s="11">
        <f>IF(B290="","","PG"&amp;TEXT(ROW()-1,"0000"))</f>
        <v/>
      </c>
      <c r="B290" s="12" t="n"/>
      <c r="C290" s="11">
        <f>IF(B290="","",INDEX(Prestamos!$B:$B,MATCH(B290,Prestamos!$A:$A,0)))</f>
        <v/>
      </c>
      <c r="D290" s="13" t="n"/>
      <c r="E290" s="14" t="n"/>
      <c r="F290" s="16">
        <f>IF(B290="","",INDEX(Prestamos!$D:$D,MATCH(B290,Prestamos!$A:$A,0))-SUMIFS($H$1:H1,$B$1:B1,B290))</f>
        <v/>
      </c>
      <c r="G290" s="16">
        <f>IF(B290="","",F290*INDEX(Prestamos!$E:$E,MATCH(B290,Prestamos!$A:$A,0)))</f>
        <v/>
      </c>
      <c r="H290" s="16">
        <f>IF(B290="","",MAX(0,E290-G290))</f>
        <v/>
      </c>
      <c r="I290" s="16">
        <f>IF(B290="","",F290-H290)</f>
        <v/>
      </c>
    </row>
    <row r="291">
      <c r="A291" s="11">
        <f>IF(B291="","","PG"&amp;TEXT(ROW()-1,"0000"))</f>
        <v/>
      </c>
      <c r="B291" s="12" t="n"/>
      <c r="C291" s="11">
        <f>IF(B291="","",INDEX(Prestamos!$B:$B,MATCH(B291,Prestamos!$A:$A,0)))</f>
        <v/>
      </c>
      <c r="D291" s="13" t="n"/>
      <c r="E291" s="14" t="n"/>
      <c r="F291" s="16">
        <f>IF(B291="","",INDEX(Prestamos!$D:$D,MATCH(B291,Prestamos!$A:$A,0))-SUMIFS($H$1:H1,$B$1:B1,B291))</f>
        <v/>
      </c>
      <c r="G291" s="16">
        <f>IF(B291="","",F291*INDEX(Prestamos!$E:$E,MATCH(B291,Prestamos!$A:$A,0)))</f>
        <v/>
      </c>
      <c r="H291" s="16">
        <f>IF(B291="","",MAX(0,E291-G291))</f>
        <v/>
      </c>
      <c r="I291" s="16">
        <f>IF(B291="","",F291-H291)</f>
        <v/>
      </c>
    </row>
    <row r="292">
      <c r="A292" s="11">
        <f>IF(B292="","","PG"&amp;TEXT(ROW()-1,"0000"))</f>
        <v/>
      </c>
      <c r="B292" s="12" t="n"/>
      <c r="C292" s="11">
        <f>IF(B292="","",INDEX(Prestamos!$B:$B,MATCH(B292,Prestamos!$A:$A,0)))</f>
        <v/>
      </c>
      <c r="D292" s="13" t="n"/>
      <c r="E292" s="14" t="n"/>
      <c r="F292" s="16">
        <f>IF(B292="","",INDEX(Prestamos!$D:$D,MATCH(B292,Prestamos!$A:$A,0))-SUMIFS($H$1:H1,$B$1:B1,B292))</f>
        <v/>
      </c>
      <c r="G292" s="16">
        <f>IF(B292="","",F292*INDEX(Prestamos!$E:$E,MATCH(B292,Prestamos!$A:$A,0)))</f>
        <v/>
      </c>
      <c r="H292" s="16">
        <f>IF(B292="","",MAX(0,E292-G292))</f>
        <v/>
      </c>
      <c r="I292" s="16">
        <f>IF(B292="","",F292-H292)</f>
        <v/>
      </c>
    </row>
    <row r="293">
      <c r="A293" s="11">
        <f>IF(B293="","","PG"&amp;TEXT(ROW()-1,"0000"))</f>
        <v/>
      </c>
      <c r="B293" s="12" t="n"/>
      <c r="C293" s="11">
        <f>IF(B293="","",INDEX(Prestamos!$B:$B,MATCH(B293,Prestamos!$A:$A,0)))</f>
        <v/>
      </c>
      <c r="D293" s="13" t="n"/>
      <c r="E293" s="14" t="n"/>
      <c r="F293" s="16">
        <f>IF(B293="","",INDEX(Prestamos!$D:$D,MATCH(B293,Prestamos!$A:$A,0))-SUMIFS($H$1:H1,$B$1:B1,B293))</f>
        <v/>
      </c>
      <c r="G293" s="16">
        <f>IF(B293="","",F293*INDEX(Prestamos!$E:$E,MATCH(B293,Prestamos!$A:$A,0)))</f>
        <v/>
      </c>
      <c r="H293" s="16">
        <f>IF(B293="","",MAX(0,E293-G293))</f>
        <v/>
      </c>
      <c r="I293" s="16">
        <f>IF(B293="","",F293-H293)</f>
        <v/>
      </c>
    </row>
    <row r="294">
      <c r="A294" s="11">
        <f>IF(B294="","","PG"&amp;TEXT(ROW()-1,"0000"))</f>
        <v/>
      </c>
      <c r="B294" s="12" t="n"/>
      <c r="C294" s="11">
        <f>IF(B294="","",INDEX(Prestamos!$B:$B,MATCH(B294,Prestamos!$A:$A,0)))</f>
        <v/>
      </c>
      <c r="D294" s="13" t="n"/>
      <c r="E294" s="14" t="n"/>
      <c r="F294" s="16">
        <f>IF(B294="","",INDEX(Prestamos!$D:$D,MATCH(B294,Prestamos!$A:$A,0))-SUMIFS($H$1:H1,$B$1:B1,B294))</f>
        <v/>
      </c>
      <c r="G294" s="16">
        <f>IF(B294="","",F294*INDEX(Prestamos!$E:$E,MATCH(B294,Prestamos!$A:$A,0)))</f>
        <v/>
      </c>
      <c r="H294" s="16">
        <f>IF(B294="","",MAX(0,E294-G294))</f>
        <v/>
      </c>
      <c r="I294" s="16">
        <f>IF(B294="","",F294-H294)</f>
        <v/>
      </c>
    </row>
    <row r="295">
      <c r="A295" s="11">
        <f>IF(B295="","","PG"&amp;TEXT(ROW()-1,"0000"))</f>
        <v/>
      </c>
      <c r="B295" s="12" t="n"/>
      <c r="C295" s="11">
        <f>IF(B295="","",INDEX(Prestamos!$B:$B,MATCH(B295,Prestamos!$A:$A,0)))</f>
        <v/>
      </c>
      <c r="D295" s="13" t="n"/>
      <c r="E295" s="14" t="n"/>
      <c r="F295" s="16">
        <f>IF(B295="","",INDEX(Prestamos!$D:$D,MATCH(B295,Prestamos!$A:$A,0))-SUMIFS($H$1:H1,$B$1:B1,B295))</f>
        <v/>
      </c>
      <c r="G295" s="16">
        <f>IF(B295="","",F295*INDEX(Prestamos!$E:$E,MATCH(B295,Prestamos!$A:$A,0)))</f>
        <v/>
      </c>
      <c r="H295" s="16">
        <f>IF(B295="","",MAX(0,E295-G295))</f>
        <v/>
      </c>
      <c r="I295" s="16">
        <f>IF(B295="","",F295-H295)</f>
        <v/>
      </c>
    </row>
    <row r="296">
      <c r="A296" s="11">
        <f>IF(B296="","","PG"&amp;TEXT(ROW()-1,"0000"))</f>
        <v/>
      </c>
      <c r="B296" s="12" t="n"/>
      <c r="C296" s="11">
        <f>IF(B296="","",INDEX(Prestamos!$B:$B,MATCH(B296,Prestamos!$A:$A,0)))</f>
        <v/>
      </c>
      <c r="D296" s="13" t="n"/>
      <c r="E296" s="14" t="n"/>
      <c r="F296" s="16">
        <f>IF(B296="","",INDEX(Prestamos!$D:$D,MATCH(B296,Prestamos!$A:$A,0))-SUMIFS($H$1:H1,$B$1:B1,B296))</f>
        <v/>
      </c>
      <c r="G296" s="16">
        <f>IF(B296="","",F296*INDEX(Prestamos!$E:$E,MATCH(B296,Prestamos!$A:$A,0)))</f>
        <v/>
      </c>
      <c r="H296" s="16">
        <f>IF(B296="","",MAX(0,E296-G296))</f>
        <v/>
      </c>
      <c r="I296" s="16">
        <f>IF(B296="","",F296-H296)</f>
        <v/>
      </c>
    </row>
    <row r="297">
      <c r="A297" s="11">
        <f>IF(B297="","","PG"&amp;TEXT(ROW()-1,"0000"))</f>
        <v/>
      </c>
      <c r="B297" s="12" t="n"/>
      <c r="C297" s="11">
        <f>IF(B297="","",INDEX(Prestamos!$B:$B,MATCH(B297,Prestamos!$A:$A,0)))</f>
        <v/>
      </c>
      <c r="D297" s="13" t="n"/>
      <c r="E297" s="14" t="n"/>
      <c r="F297" s="16">
        <f>IF(B297="","",INDEX(Prestamos!$D:$D,MATCH(B297,Prestamos!$A:$A,0))-SUMIFS($H$1:H1,$B$1:B1,B297))</f>
        <v/>
      </c>
      <c r="G297" s="16">
        <f>IF(B297="","",F297*INDEX(Prestamos!$E:$E,MATCH(B297,Prestamos!$A:$A,0)))</f>
        <v/>
      </c>
      <c r="H297" s="16">
        <f>IF(B297="","",MAX(0,E297-G297))</f>
        <v/>
      </c>
      <c r="I297" s="16">
        <f>IF(B297="","",F297-H297)</f>
        <v/>
      </c>
    </row>
    <row r="298">
      <c r="A298" s="11">
        <f>IF(B298="","","PG"&amp;TEXT(ROW()-1,"0000"))</f>
        <v/>
      </c>
      <c r="B298" s="12" t="n"/>
      <c r="C298" s="11">
        <f>IF(B298="","",INDEX(Prestamos!$B:$B,MATCH(B298,Prestamos!$A:$A,0)))</f>
        <v/>
      </c>
      <c r="D298" s="13" t="n"/>
      <c r="E298" s="14" t="n"/>
      <c r="F298" s="16">
        <f>IF(B298="","",INDEX(Prestamos!$D:$D,MATCH(B298,Prestamos!$A:$A,0))-SUMIFS($H$1:H1,$B$1:B1,B298))</f>
        <v/>
      </c>
      <c r="G298" s="16">
        <f>IF(B298="","",F298*INDEX(Prestamos!$E:$E,MATCH(B298,Prestamos!$A:$A,0)))</f>
        <v/>
      </c>
      <c r="H298" s="16">
        <f>IF(B298="","",MAX(0,E298-G298))</f>
        <v/>
      </c>
      <c r="I298" s="16">
        <f>IF(B298="","",F298-H298)</f>
        <v/>
      </c>
    </row>
    <row r="299">
      <c r="A299" s="11">
        <f>IF(B299="","","PG"&amp;TEXT(ROW()-1,"0000"))</f>
        <v/>
      </c>
      <c r="B299" s="12" t="n"/>
      <c r="C299" s="11">
        <f>IF(B299="","",INDEX(Prestamos!$B:$B,MATCH(B299,Prestamos!$A:$A,0)))</f>
        <v/>
      </c>
      <c r="D299" s="13" t="n"/>
      <c r="E299" s="14" t="n"/>
      <c r="F299" s="16">
        <f>IF(B299="","",INDEX(Prestamos!$D:$D,MATCH(B299,Prestamos!$A:$A,0))-SUMIFS($H$1:H1,$B$1:B1,B299))</f>
        <v/>
      </c>
      <c r="G299" s="16">
        <f>IF(B299="","",F299*INDEX(Prestamos!$E:$E,MATCH(B299,Prestamos!$A:$A,0)))</f>
        <v/>
      </c>
      <c r="H299" s="16">
        <f>IF(B299="","",MAX(0,E299-G299))</f>
        <v/>
      </c>
      <c r="I299" s="16">
        <f>IF(B299="","",F299-H299)</f>
        <v/>
      </c>
    </row>
    <row r="300">
      <c r="A300" s="11">
        <f>IF(B300="","","PG"&amp;TEXT(ROW()-1,"0000"))</f>
        <v/>
      </c>
      <c r="B300" s="12" t="n"/>
      <c r="C300" s="11">
        <f>IF(B300="","",INDEX(Prestamos!$B:$B,MATCH(B300,Prestamos!$A:$A,0)))</f>
        <v/>
      </c>
      <c r="D300" s="13" t="n"/>
      <c r="E300" s="14" t="n"/>
      <c r="F300" s="16">
        <f>IF(B300="","",INDEX(Prestamos!$D:$D,MATCH(B300,Prestamos!$A:$A,0))-SUMIFS($H$1:H1,$B$1:B1,B300))</f>
        <v/>
      </c>
      <c r="G300" s="16">
        <f>IF(B300="","",F300*INDEX(Prestamos!$E:$E,MATCH(B300,Prestamos!$A:$A,0)))</f>
        <v/>
      </c>
      <c r="H300" s="16">
        <f>IF(B300="","",MAX(0,E300-G300))</f>
        <v/>
      </c>
      <c r="I300" s="16">
        <f>IF(B300="","",F300-H300)</f>
        <v/>
      </c>
    </row>
    <row r="301">
      <c r="A301" s="11">
        <f>IF(B301="","","PG"&amp;TEXT(ROW()-1,"0000"))</f>
        <v/>
      </c>
      <c r="B301" s="12" t="n"/>
      <c r="C301" s="11">
        <f>IF(B301="","",INDEX(Prestamos!$B:$B,MATCH(B301,Prestamos!$A:$A,0)))</f>
        <v/>
      </c>
      <c r="D301" s="13" t="n"/>
      <c r="E301" s="14" t="n"/>
      <c r="F301" s="16">
        <f>IF(B301="","",INDEX(Prestamos!$D:$D,MATCH(B301,Prestamos!$A:$A,0))-SUMIFS($H$1:H1,$B$1:B1,B301))</f>
        <v/>
      </c>
      <c r="G301" s="16">
        <f>IF(B301="","",F301*INDEX(Prestamos!$E:$E,MATCH(B301,Prestamos!$A:$A,0)))</f>
        <v/>
      </c>
      <c r="H301" s="16">
        <f>IF(B301="","",MAX(0,E301-G301))</f>
        <v/>
      </c>
      <c r="I301" s="16">
        <f>IF(B301="","",F301-H301)</f>
        <v/>
      </c>
    </row>
    <row r="302">
      <c r="A302" s="11">
        <f>IF(B302="","","PG"&amp;TEXT(ROW()-1,"0000"))</f>
        <v/>
      </c>
      <c r="B302" s="12" t="n"/>
      <c r="C302" s="11">
        <f>IF(B302="","",INDEX(Prestamos!$B:$B,MATCH(B302,Prestamos!$A:$A,0)))</f>
        <v/>
      </c>
      <c r="D302" s="13" t="n"/>
      <c r="E302" s="14" t="n"/>
      <c r="F302" s="16">
        <f>IF(B302="","",INDEX(Prestamos!$D:$D,MATCH(B302,Prestamos!$A:$A,0))-SUMIFS($H$1:H1,$B$1:B1,B302))</f>
        <v/>
      </c>
      <c r="G302" s="16">
        <f>IF(B302="","",F302*INDEX(Prestamos!$E:$E,MATCH(B302,Prestamos!$A:$A,0)))</f>
        <v/>
      </c>
      <c r="H302" s="16">
        <f>IF(B302="","",MAX(0,E302-G302))</f>
        <v/>
      </c>
      <c r="I302" s="16">
        <f>IF(B302="","",F302-H302)</f>
        <v/>
      </c>
    </row>
    <row r="303">
      <c r="A303" s="11">
        <f>IF(B303="","","PG"&amp;TEXT(ROW()-1,"0000"))</f>
        <v/>
      </c>
      <c r="B303" s="12" t="n"/>
      <c r="C303" s="11">
        <f>IF(B303="","",INDEX(Prestamos!$B:$B,MATCH(B303,Prestamos!$A:$A,0)))</f>
        <v/>
      </c>
      <c r="D303" s="13" t="n"/>
      <c r="E303" s="14" t="n"/>
      <c r="F303" s="16">
        <f>IF(B303="","",INDEX(Prestamos!$D:$D,MATCH(B303,Prestamos!$A:$A,0))-SUMIFS($H$1:H1,$B$1:B1,B303))</f>
        <v/>
      </c>
      <c r="G303" s="16">
        <f>IF(B303="","",F303*INDEX(Prestamos!$E:$E,MATCH(B303,Prestamos!$A:$A,0)))</f>
        <v/>
      </c>
      <c r="H303" s="16">
        <f>IF(B303="","",MAX(0,E303-G303))</f>
        <v/>
      </c>
      <c r="I303" s="16">
        <f>IF(B303="","",F303-H303)</f>
        <v/>
      </c>
    </row>
    <row r="304">
      <c r="A304" s="11">
        <f>IF(B304="","","PG"&amp;TEXT(ROW()-1,"0000"))</f>
        <v/>
      </c>
      <c r="B304" s="12" t="n"/>
      <c r="C304" s="11">
        <f>IF(B304="","",INDEX(Prestamos!$B:$B,MATCH(B304,Prestamos!$A:$A,0)))</f>
        <v/>
      </c>
      <c r="D304" s="13" t="n"/>
      <c r="E304" s="14" t="n"/>
      <c r="F304" s="16">
        <f>IF(B304="","",INDEX(Prestamos!$D:$D,MATCH(B304,Prestamos!$A:$A,0))-SUMIFS($H$1:H1,$B$1:B1,B304))</f>
        <v/>
      </c>
      <c r="G304" s="16">
        <f>IF(B304="","",F304*INDEX(Prestamos!$E:$E,MATCH(B304,Prestamos!$A:$A,0)))</f>
        <v/>
      </c>
      <c r="H304" s="16">
        <f>IF(B304="","",MAX(0,E304-G304))</f>
        <v/>
      </c>
      <c r="I304" s="16">
        <f>IF(B304="","",F304-H304)</f>
        <v/>
      </c>
    </row>
    <row r="305">
      <c r="A305" s="11">
        <f>IF(B305="","","PG"&amp;TEXT(ROW()-1,"0000"))</f>
        <v/>
      </c>
      <c r="B305" s="12" t="n"/>
      <c r="C305" s="11">
        <f>IF(B305="","",INDEX(Prestamos!$B:$B,MATCH(B305,Prestamos!$A:$A,0)))</f>
        <v/>
      </c>
      <c r="D305" s="13" t="n"/>
      <c r="E305" s="14" t="n"/>
      <c r="F305" s="16">
        <f>IF(B305="","",INDEX(Prestamos!$D:$D,MATCH(B305,Prestamos!$A:$A,0))-SUMIFS($H$1:H1,$B$1:B1,B305))</f>
        <v/>
      </c>
      <c r="G305" s="16">
        <f>IF(B305="","",F305*INDEX(Prestamos!$E:$E,MATCH(B305,Prestamos!$A:$A,0)))</f>
        <v/>
      </c>
      <c r="H305" s="16">
        <f>IF(B305="","",MAX(0,E305-G305))</f>
        <v/>
      </c>
      <c r="I305" s="16">
        <f>IF(B305="","",F305-H305)</f>
        <v/>
      </c>
    </row>
    <row r="306">
      <c r="A306" s="11">
        <f>IF(B306="","","PG"&amp;TEXT(ROW()-1,"0000"))</f>
        <v/>
      </c>
      <c r="B306" s="12" t="n"/>
      <c r="C306" s="11">
        <f>IF(B306="","",INDEX(Prestamos!$B:$B,MATCH(B306,Prestamos!$A:$A,0)))</f>
        <v/>
      </c>
      <c r="D306" s="13" t="n"/>
      <c r="E306" s="14" t="n"/>
      <c r="F306" s="16">
        <f>IF(B306="","",INDEX(Prestamos!$D:$D,MATCH(B306,Prestamos!$A:$A,0))-SUMIFS($H$1:H1,$B$1:B1,B306))</f>
        <v/>
      </c>
      <c r="G306" s="16">
        <f>IF(B306="","",F306*INDEX(Prestamos!$E:$E,MATCH(B306,Prestamos!$A:$A,0)))</f>
        <v/>
      </c>
      <c r="H306" s="16">
        <f>IF(B306="","",MAX(0,E306-G306))</f>
        <v/>
      </c>
      <c r="I306" s="16">
        <f>IF(B306="","",F306-H306)</f>
        <v/>
      </c>
    </row>
    <row r="307">
      <c r="A307" s="11">
        <f>IF(B307="","","PG"&amp;TEXT(ROW()-1,"0000"))</f>
        <v/>
      </c>
      <c r="B307" s="12" t="n"/>
      <c r="C307" s="11">
        <f>IF(B307="","",INDEX(Prestamos!$B:$B,MATCH(B307,Prestamos!$A:$A,0)))</f>
        <v/>
      </c>
      <c r="D307" s="13" t="n"/>
      <c r="E307" s="14" t="n"/>
      <c r="F307" s="16">
        <f>IF(B307="","",INDEX(Prestamos!$D:$D,MATCH(B307,Prestamos!$A:$A,0))-SUMIFS($H$1:H1,$B$1:B1,B307))</f>
        <v/>
      </c>
      <c r="G307" s="16">
        <f>IF(B307="","",F307*INDEX(Prestamos!$E:$E,MATCH(B307,Prestamos!$A:$A,0)))</f>
        <v/>
      </c>
      <c r="H307" s="16">
        <f>IF(B307="","",MAX(0,E307-G307))</f>
        <v/>
      </c>
      <c r="I307" s="16">
        <f>IF(B307="","",F307-H307)</f>
        <v/>
      </c>
    </row>
    <row r="308">
      <c r="A308" s="11">
        <f>IF(B308="","","PG"&amp;TEXT(ROW()-1,"0000"))</f>
        <v/>
      </c>
      <c r="B308" s="12" t="n"/>
      <c r="C308" s="11">
        <f>IF(B308="","",INDEX(Prestamos!$B:$B,MATCH(B308,Prestamos!$A:$A,0)))</f>
        <v/>
      </c>
      <c r="D308" s="13" t="n"/>
      <c r="E308" s="14" t="n"/>
      <c r="F308" s="16">
        <f>IF(B308="","",INDEX(Prestamos!$D:$D,MATCH(B308,Prestamos!$A:$A,0))-SUMIFS($H$1:H1,$B$1:B1,B308))</f>
        <v/>
      </c>
      <c r="G308" s="16">
        <f>IF(B308="","",F308*INDEX(Prestamos!$E:$E,MATCH(B308,Prestamos!$A:$A,0)))</f>
        <v/>
      </c>
      <c r="H308" s="16">
        <f>IF(B308="","",MAX(0,E308-G308))</f>
        <v/>
      </c>
      <c r="I308" s="16">
        <f>IF(B308="","",F308-H308)</f>
        <v/>
      </c>
    </row>
    <row r="309">
      <c r="A309" s="11">
        <f>IF(B309="","","PG"&amp;TEXT(ROW()-1,"0000"))</f>
        <v/>
      </c>
      <c r="B309" s="12" t="n"/>
      <c r="C309" s="11">
        <f>IF(B309="","",INDEX(Prestamos!$B:$B,MATCH(B309,Prestamos!$A:$A,0)))</f>
        <v/>
      </c>
      <c r="D309" s="13" t="n"/>
      <c r="E309" s="14" t="n"/>
      <c r="F309" s="16">
        <f>IF(B309="","",INDEX(Prestamos!$D:$D,MATCH(B309,Prestamos!$A:$A,0))-SUMIFS($H$1:H1,$B$1:B1,B309))</f>
        <v/>
      </c>
      <c r="G309" s="16">
        <f>IF(B309="","",F309*INDEX(Prestamos!$E:$E,MATCH(B309,Prestamos!$A:$A,0)))</f>
        <v/>
      </c>
      <c r="H309" s="16">
        <f>IF(B309="","",MAX(0,E309-G309))</f>
        <v/>
      </c>
      <c r="I309" s="16">
        <f>IF(B309="","",F309-H309)</f>
        <v/>
      </c>
    </row>
    <row r="310">
      <c r="A310" s="11">
        <f>IF(B310="","","PG"&amp;TEXT(ROW()-1,"0000"))</f>
        <v/>
      </c>
      <c r="B310" s="12" t="n"/>
      <c r="C310" s="11">
        <f>IF(B310="","",INDEX(Prestamos!$B:$B,MATCH(B310,Prestamos!$A:$A,0)))</f>
        <v/>
      </c>
      <c r="D310" s="13" t="n"/>
      <c r="E310" s="14" t="n"/>
      <c r="F310" s="16">
        <f>IF(B310="","",INDEX(Prestamos!$D:$D,MATCH(B310,Prestamos!$A:$A,0))-SUMIFS($H$1:H1,$B$1:B1,B310))</f>
        <v/>
      </c>
      <c r="G310" s="16">
        <f>IF(B310="","",F310*INDEX(Prestamos!$E:$E,MATCH(B310,Prestamos!$A:$A,0)))</f>
        <v/>
      </c>
      <c r="H310" s="16">
        <f>IF(B310="","",MAX(0,E310-G310))</f>
        <v/>
      </c>
      <c r="I310" s="16">
        <f>IF(B310="","",F310-H310)</f>
        <v/>
      </c>
    </row>
    <row r="311">
      <c r="A311" s="11">
        <f>IF(B311="","","PG"&amp;TEXT(ROW()-1,"0000"))</f>
        <v/>
      </c>
      <c r="B311" s="12" t="n"/>
      <c r="C311" s="11">
        <f>IF(B311="","",INDEX(Prestamos!$B:$B,MATCH(B311,Prestamos!$A:$A,0)))</f>
        <v/>
      </c>
      <c r="D311" s="13" t="n"/>
      <c r="E311" s="14" t="n"/>
      <c r="F311" s="16">
        <f>IF(B311="","",INDEX(Prestamos!$D:$D,MATCH(B311,Prestamos!$A:$A,0))-SUMIFS($H$1:H1,$B$1:B1,B311))</f>
        <v/>
      </c>
      <c r="G311" s="16">
        <f>IF(B311="","",F311*INDEX(Prestamos!$E:$E,MATCH(B311,Prestamos!$A:$A,0)))</f>
        <v/>
      </c>
      <c r="H311" s="16">
        <f>IF(B311="","",MAX(0,E311-G311))</f>
        <v/>
      </c>
      <c r="I311" s="16">
        <f>IF(B311="","",F311-H311)</f>
        <v/>
      </c>
    </row>
    <row r="312">
      <c r="A312" s="11">
        <f>IF(B312="","","PG"&amp;TEXT(ROW()-1,"0000"))</f>
        <v/>
      </c>
      <c r="B312" s="12" t="n"/>
      <c r="C312" s="11">
        <f>IF(B312="","",INDEX(Prestamos!$B:$B,MATCH(B312,Prestamos!$A:$A,0)))</f>
        <v/>
      </c>
      <c r="D312" s="13" t="n"/>
      <c r="E312" s="14" t="n"/>
      <c r="F312" s="16">
        <f>IF(B312="","",INDEX(Prestamos!$D:$D,MATCH(B312,Prestamos!$A:$A,0))-SUMIFS($H$1:H1,$B$1:B1,B312))</f>
        <v/>
      </c>
      <c r="G312" s="16">
        <f>IF(B312="","",F312*INDEX(Prestamos!$E:$E,MATCH(B312,Prestamos!$A:$A,0)))</f>
        <v/>
      </c>
      <c r="H312" s="16">
        <f>IF(B312="","",MAX(0,E312-G312))</f>
        <v/>
      </c>
      <c r="I312" s="16">
        <f>IF(B312="","",F312-H312)</f>
        <v/>
      </c>
    </row>
    <row r="313">
      <c r="A313" s="11">
        <f>IF(B313="","","PG"&amp;TEXT(ROW()-1,"0000"))</f>
        <v/>
      </c>
      <c r="B313" s="12" t="n"/>
      <c r="C313" s="11">
        <f>IF(B313="","",INDEX(Prestamos!$B:$B,MATCH(B313,Prestamos!$A:$A,0)))</f>
        <v/>
      </c>
      <c r="D313" s="13" t="n"/>
      <c r="E313" s="14" t="n"/>
      <c r="F313" s="16">
        <f>IF(B313="","",INDEX(Prestamos!$D:$D,MATCH(B313,Prestamos!$A:$A,0))-SUMIFS($H$1:H1,$B$1:B1,B313))</f>
        <v/>
      </c>
      <c r="G313" s="16">
        <f>IF(B313="","",F313*INDEX(Prestamos!$E:$E,MATCH(B313,Prestamos!$A:$A,0)))</f>
        <v/>
      </c>
      <c r="H313" s="16">
        <f>IF(B313="","",MAX(0,E313-G313))</f>
        <v/>
      </c>
      <c r="I313" s="16">
        <f>IF(B313="","",F313-H313)</f>
        <v/>
      </c>
    </row>
    <row r="314">
      <c r="A314" s="11">
        <f>IF(B314="","","PG"&amp;TEXT(ROW()-1,"0000"))</f>
        <v/>
      </c>
      <c r="B314" s="12" t="n"/>
      <c r="C314" s="11">
        <f>IF(B314="","",INDEX(Prestamos!$B:$B,MATCH(B314,Prestamos!$A:$A,0)))</f>
        <v/>
      </c>
      <c r="D314" s="13" t="n"/>
      <c r="E314" s="14" t="n"/>
      <c r="F314" s="16">
        <f>IF(B314="","",INDEX(Prestamos!$D:$D,MATCH(B314,Prestamos!$A:$A,0))-SUMIFS($H$1:H1,$B$1:B1,B314))</f>
        <v/>
      </c>
      <c r="G314" s="16">
        <f>IF(B314="","",F314*INDEX(Prestamos!$E:$E,MATCH(B314,Prestamos!$A:$A,0)))</f>
        <v/>
      </c>
      <c r="H314" s="16">
        <f>IF(B314="","",MAX(0,E314-G314))</f>
        <v/>
      </c>
      <c r="I314" s="16">
        <f>IF(B314="","",F314-H314)</f>
        <v/>
      </c>
    </row>
    <row r="315">
      <c r="A315" s="11">
        <f>IF(B315="","","PG"&amp;TEXT(ROW()-1,"0000"))</f>
        <v/>
      </c>
      <c r="B315" s="12" t="n"/>
      <c r="C315" s="11">
        <f>IF(B315="","",INDEX(Prestamos!$B:$B,MATCH(B315,Prestamos!$A:$A,0)))</f>
        <v/>
      </c>
      <c r="D315" s="13" t="n"/>
      <c r="E315" s="14" t="n"/>
      <c r="F315" s="16">
        <f>IF(B315="","",INDEX(Prestamos!$D:$D,MATCH(B315,Prestamos!$A:$A,0))-SUMIFS($H$1:H1,$B$1:B1,B315))</f>
        <v/>
      </c>
      <c r="G315" s="16">
        <f>IF(B315="","",F315*INDEX(Prestamos!$E:$E,MATCH(B315,Prestamos!$A:$A,0)))</f>
        <v/>
      </c>
      <c r="H315" s="16">
        <f>IF(B315="","",MAX(0,E315-G315))</f>
        <v/>
      </c>
      <c r="I315" s="16">
        <f>IF(B315="","",F315-H315)</f>
        <v/>
      </c>
    </row>
    <row r="316">
      <c r="A316" s="11">
        <f>IF(B316="","","PG"&amp;TEXT(ROW()-1,"0000"))</f>
        <v/>
      </c>
      <c r="B316" s="12" t="n"/>
      <c r="C316" s="11">
        <f>IF(B316="","",INDEX(Prestamos!$B:$B,MATCH(B316,Prestamos!$A:$A,0)))</f>
        <v/>
      </c>
      <c r="D316" s="13" t="n"/>
      <c r="E316" s="14" t="n"/>
      <c r="F316" s="16">
        <f>IF(B316="","",INDEX(Prestamos!$D:$D,MATCH(B316,Prestamos!$A:$A,0))-SUMIFS($H$1:H1,$B$1:B1,B316))</f>
        <v/>
      </c>
      <c r="G316" s="16">
        <f>IF(B316="","",F316*INDEX(Prestamos!$E:$E,MATCH(B316,Prestamos!$A:$A,0)))</f>
        <v/>
      </c>
      <c r="H316" s="16">
        <f>IF(B316="","",MAX(0,E316-G316))</f>
        <v/>
      </c>
      <c r="I316" s="16">
        <f>IF(B316="","",F316-H316)</f>
        <v/>
      </c>
    </row>
    <row r="317">
      <c r="A317" s="11">
        <f>IF(B317="","","PG"&amp;TEXT(ROW()-1,"0000"))</f>
        <v/>
      </c>
      <c r="B317" s="12" t="n"/>
      <c r="C317" s="11">
        <f>IF(B317="","",INDEX(Prestamos!$B:$B,MATCH(B317,Prestamos!$A:$A,0)))</f>
        <v/>
      </c>
      <c r="D317" s="13" t="n"/>
      <c r="E317" s="14" t="n"/>
      <c r="F317" s="16">
        <f>IF(B317="","",INDEX(Prestamos!$D:$D,MATCH(B317,Prestamos!$A:$A,0))-SUMIFS($H$1:H1,$B$1:B1,B317))</f>
        <v/>
      </c>
      <c r="G317" s="16">
        <f>IF(B317="","",F317*INDEX(Prestamos!$E:$E,MATCH(B317,Prestamos!$A:$A,0)))</f>
        <v/>
      </c>
      <c r="H317" s="16">
        <f>IF(B317="","",MAX(0,E317-G317))</f>
        <v/>
      </c>
      <c r="I317" s="16">
        <f>IF(B317="","",F317-H317)</f>
        <v/>
      </c>
    </row>
    <row r="318">
      <c r="A318" s="11">
        <f>IF(B318="","","PG"&amp;TEXT(ROW()-1,"0000"))</f>
        <v/>
      </c>
      <c r="B318" s="12" t="n"/>
      <c r="C318" s="11">
        <f>IF(B318="","",INDEX(Prestamos!$B:$B,MATCH(B318,Prestamos!$A:$A,0)))</f>
        <v/>
      </c>
      <c r="D318" s="13" t="n"/>
      <c r="E318" s="14" t="n"/>
      <c r="F318" s="16">
        <f>IF(B318="","",INDEX(Prestamos!$D:$D,MATCH(B318,Prestamos!$A:$A,0))-SUMIFS($H$1:H1,$B$1:B1,B318))</f>
        <v/>
      </c>
      <c r="G318" s="16">
        <f>IF(B318="","",F318*INDEX(Prestamos!$E:$E,MATCH(B318,Prestamos!$A:$A,0)))</f>
        <v/>
      </c>
      <c r="H318" s="16">
        <f>IF(B318="","",MAX(0,E318-G318))</f>
        <v/>
      </c>
      <c r="I318" s="16">
        <f>IF(B318="","",F318-H318)</f>
        <v/>
      </c>
    </row>
    <row r="319">
      <c r="A319" s="11">
        <f>IF(B319="","","PG"&amp;TEXT(ROW()-1,"0000"))</f>
        <v/>
      </c>
      <c r="B319" s="12" t="n"/>
      <c r="C319" s="11">
        <f>IF(B319="","",INDEX(Prestamos!$B:$B,MATCH(B319,Prestamos!$A:$A,0)))</f>
        <v/>
      </c>
      <c r="D319" s="13" t="n"/>
      <c r="E319" s="14" t="n"/>
      <c r="F319" s="16">
        <f>IF(B319="","",INDEX(Prestamos!$D:$D,MATCH(B319,Prestamos!$A:$A,0))-SUMIFS($H$1:H1,$B$1:B1,B319))</f>
        <v/>
      </c>
      <c r="G319" s="16">
        <f>IF(B319="","",F319*INDEX(Prestamos!$E:$E,MATCH(B319,Prestamos!$A:$A,0)))</f>
        <v/>
      </c>
      <c r="H319" s="16">
        <f>IF(B319="","",MAX(0,E319-G319))</f>
        <v/>
      </c>
      <c r="I319" s="16">
        <f>IF(B319="","",F319-H319)</f>
        <v/>
      </c>
    </row>
    <row r="320">
      <c r="A320" s="11">
        <f>IF(B320="","","PG"&amp;TEXT(ROW()-1,"0000"))</f>
        <v/>
      </c>
      <c r="B320" s="12" t="n"/>
      <c r="C320" s="11">
        <f>IF(B320="","",INDEX(Prestamos!$B:$B,MATCH(B320,Prestamos!$A:$A,0)))</f>
        <v/>
      </c>
      <c r="D320" s="13" t="n"/>
      <c r="E320" s="14" t="n"/>
      <c r="F320" s="16">
        <f>IF(B320="","",INDEX(Prestamos!$D:$D,MATCH(B320,Prestamos!$A:$A,0))-SUMIFS($H$1:H1,$B$1:B1,B320))</f>
        <v/>
      </c>
      <c r="G320" s="16">
        <f>IF(B320="","",F320*INDEX(Prestamos!$E:$E,MATCH(B320,Prestamos!$A:$A,0)))</f>
        <v/>
      </c>
      <c r="H320" s="16">
        <f>IF(B320="","",MAX(0,E320-G320))</f>
        <v/>
      </c>
      <c r="I320" s="16">
        <f>IF(B320="","",F320-H320)</f>
        <v/>
      </c>
    </row>
    <row r="321">
      <c r="A321" s="11">
        <f>IF(B321="","","PG"&amp;TEXT(ROW()-1,"0000"))</f>
        <v/>
      </c>
      <c r="B321" s="12" t="n"/>
      <c r="C321" s="11">
        <f>IF(B321="","",INDEX(Prestamos!$B:$B,MATCH(B321,Prestamos!$A:$A,0)))</f>
        <v/>
      </c>
      <c r="D321" s="13" t="n"/>
      <c r="E321" s="14" t="n"/>
      <c r="F321" s="16">
        <f>IF(B321="","",INDEX(Prestamos!$D:$D,MATCH(B321,Prestamos!$A:$A,0))-SUMIFS($H$1:H1,$B$1:B1,B321))</f>
        <v/>
      </c>
      <c r="G321" s="16">
        <f>IF(B321="","",F321*INDEX(Prestamos!$E:$E,MATCH(B321,Prestamos!$A:$A,0)))</f>
        <v/>
      </c>
      <c r="H321" s="16">
        <f>IF(B321="","",MAX(0,E321-G321))</f>
        <v/>
      </c>
      <c r="I321" s="16">
        <f>IF(B321="","",F321-H321)</f>
        <v/>
      </c>
    </row>
    <row r="322">
      <c r="A322" s="11">
        <f>IF(B322="","","PG"&amp;TEXT(ROW()-1,"0000"))</f>
        <v/>
      </c>
      <c r="B322" s="12" t="n"/>
      <c r="C322" s="11">
        <f>IF(B322="","",INDEX(Prestamos!$B:$B,MATCH(B322,Prestamos!$A:$A,0)))</f>
        <v/>
      </c>
      <c r="D322" s="13" t="n"/>
      <c r="E322" s="14" t="n"/>
      <c r="F322" s="16">
        <f>IF(B322="","",INDEX(Prestamos!$D:$D,MATCH(B322,Prestamos!$A:$A,0))-SUMIFS($H$1:H1,$B$1:B1,B322))</f>
        <v/>
      </c>
      <c r="G322" s="16">
        <f>IF(B322="","",F322*INDEX(Prestamos!$E:$E,MATCH(B322,Prestamos!$A:$A,0)))</f>
        <v/>
      </c>
      <c r="H322" s="16">
        <f>IF(B322="","",MAX(0,E322-G322))</f>
        <v/>
      </c>
      <c r="I322" s="16">
        <f>IF(B322="","",F322-H322)</f>
        <v/>
      </c>
    </row>
    <row r="323">
      <c r="A323" s="11">
        <f>IF(B323="","","PG"&amp;TEXT(ROW()-1,"0000"))</f>
        <v/>
      </c>
      <c r="B323" s="12" t="n"/>
      <c r="C323" s="11">
        <f>IF(B323="","",INDEX(Prestamos!$B:$B,MATCH(B323,Prestamos!$A:$A,0)))</f>
        <v/>
      </c>
      <c r="D323" s="13" t="n"/>
      <c r="E323" s="14" t="n"/>
      <c r="F323" s="16">
        <f>IF(B323="","",INDEX(Prestamos!$D:$D,MATCH(B323,Prestamos!$A:$A,0))-SUMIFS($H$1:H1,$B$1:B1,B323))</f>
        <v/>
      </c>
      <c r="G323" s="16">
        <f>IF(B323="","",F323*INDEX(Prestamos!$E:$E,MATCH(B323,Prestamos!$A:$A,0)))</f>
        <v/>
      </c>
      <c r="H323" s="16">
        <f>IF(B323="","",MAX(0,E323-G323))</f>
        <v/>
      </c>
      <c r="I323" s="16">
        <f>IF(B323="","",F323-H323)</f>
        <v/>
      </c>
    </row>
    <row r="324">
      <c r="A324" s="11">
        <f>IF(B324="","","PG"&amp;TEXT(ROW()-1,"0000"))</f>
        <v/>
      </c>
      <c r="B324" s="12" t="n"/>
      <c r="C324" s="11">
        <f>IF(B324="","",INDEX(Prestamos!$B:$B,MATCH(B324,Prestamos!$A:$A,0)))</f>
        <v/>
      </c>
      <c r="D324" s="13" t="n"/>
      <c r="E324" s="14" t="n"/>
      <c r="F324" s="16">
        <f>IF(B324="","",INDEX(Prestamos!$D:$D,MATCH(B324,Prestamos!$A:$A,0))-SUMIFS($H$1:H1,$B$1:B1,B324))</f>
        <v/>
      </c>
      <c r="G324" s="16">
        <f>IF(B324="","",F324*INDEX(Prestamos!$E:$E,MATCH(B324,Prestamos!$A:$A,0)))</f>
        <v/>
      </c>
      <c r="H324" s="16">
        <f>IF(B324="","",MAX(0,E324-G324))</f>
        <v/>
      </c>
      <c r="I324" s="16">
        <f>IF(B324="","",F324-H324)</f>
        <v/>
      </c>
    </row>
    <row r="325">
      <c r="A325" s="11">
        <f>IF(B325="","","PG"&amp;TEXT(ROW()-1,"0000"))</f>
        <v/>
      </c>
      <c r="B325" s="12" t="n"/>
      <c r="C325" s="11">
        <f>IF(B325="","",INDEX(Prestamos!$B:$B,MATCH(B325,Prestamos!$A:$A,0)))</f>
        <v/>
      </c>
      <c r="D325" s="13" t="n"/>
      <c r="E325" s="14" t="n"/>
      <c r="F325" s="16">
        <f>IF(B325="","",INDEX(Prestamos!$D:$D,MATCH(B325,Prestamos!$A:$A,0))-SUMIFS($H$1:H1,$B$1:B1,B325))</f>
        <v/>
      </c>
      <c r="G325" s="16">
        <f>IF(B325="","",F325*INDEX(Prestamos!$E:$E,MATCH(B325,Prestamos!$A:$A,0)))</f>
        <v/>
      </c>
      <c r="H325" s="16">
        <f>IF(B325="","",MAX(0,E325-G325))</f>
        <v/>
      </c>
      <c r="I325" s="16">
        <f>IF(B325="","",F325-H325)</f>
        <v/>
      </c>
    </row>
    <row r="326">
      <c r="A326" s="11">
        <f>IF(B326="","","PG"&amp;TEXT(ROW()-1,"0000"))</f>
        <v/>
      </c>
      <c r="B326" s="12" t="n"/>
      <c r="C326" s="11">
        <f>IF(B326="","",INDEX(Prestamos!$B:$B,MATCH(B326,Prestamos!$A:$A,0)))</f>
        <v/>
      </c>
      <c r="D326" s="13" t="n"/>
      <c r="E326" s="14" t="n"/>
      <c r="F326" s="16">
        <f>IF(B326="","",INDEX(Prestamos!$D:$D,MATCH(B326,Prestamos!$A:$A,0))-SUMIFS($H$1:H1,$B$1:B1,B326))</f>
        <v/>
      </c>
      <c r="G326" s="16">
        <f>IF(B326="","",F326*INDEX(Prestamos!$E:$E,MATCH(B326,Prestamos!$A:$A,0)))</f>
        <v/>
      </c>
      <c r="H326" s="16">
        <f>IF(B326="","",MAX(0,E326-G326))</f>
        <v/>
      </c>
      <c r="I326" s="16">
        <f>IF(B326="","",F326-H326)</f>
        <v/>
      </c>
    </row>
    <row r="327">
      <c r="A327" s="11">
        <f>IF(B327="","","PG"&amp;TEXT(ROW()-1,"0000"))</f>
        <v/>
      </c>
      <c r="B327" s="12" t="n"/>
      <c r="C327" s="11">
        <f>IF(B327="","",INDEX(Prestamos!$B:$B,MATCH(B327,Prestamos!$A:$A,0)))</f>
        <v/>
      </c>
      <c r="D327" s="13" t="n"/>
      <c r="E327" s="14" t="n"/>
      <c r="F327" s="16">
        <f>IF(B327="","",INDEX(Prestamos!$D:$D,MATCH(B327,Prestamos!$A:$A,0))-SUMIFS($H$1:H1,$B$1:B1,B327))</f>
        <v/>
      </c>
      <c r="G327" s="16">
        <f>IF(B327="","",F327*INDEX(Prestamos!$E:$E,MATCH(B327,Prestamos!$A:$A,0)))</f>
        <v/>
      </c>
      <c r="H327" s="16">
        <f>IF(B327="","",MAX(0,E327-G327))</f>
        <v/>
      </c>
      <c r="I327" s="16">
        <f>IF(B327="","",F327-H327)</f>
        <v/>
      </c>
    </row>
    <row r="328">
      <c r="A328" s="11">
        <f>IF(B328="","","PG"&amp;TEXT(ROW()-1,"0000"))</f>
        <v/>
      </c>
      <c r="B328" s="12" t="n"/>
      <c r="C328" s="11">
        <f>IF(B328="","",INDEX(Prestamos!$B:$B,MATCH(B328,Prestamos!$A:$A,0)))</f>
        <v/>
      </c>
      <c r="D328" s="13" t="n"/>
      <c r="E328" s="14" t="n"/>
      <c r="F328" s="16">
        <f>IF(B328="","",INDEX(Prestamos!$D:$D,MATCH(B328,Prestamos!$A:$A,0))-SUMIFS($H$1:H1,$B$1:B1,B328))</f>
        <v/>
      </c>
      <c r="G328" s="16">
        <f>IF(B328="","",F328*INDEX(Prestamos!$E:$E,MATCH(B328,Prestamos!$A:$A,0)))</f>
        <v/>
      </c>
      <c r="H328" s="16">
        <f>IF(B328="","",MAX(0,E328-G328))</f>
        <v/>
      </c>
      <c r="I328" s="16">
        <f>IF(B328="","",F328-H328)</f>
        <v/>
      </c>
    </row>
    <row r="329">
      <c r="A329" s="11">
        <f>IF(B329="","","PG"&amp;TEXT(ROW()-1,"0000"))</f>
        <v/>
      </c>
      <c r="B329" s="12" t="n"/>
      <c r="C329" s="11">
        <f>IF(B329="","",INDEX(Prestamos!$B:$B,MATCH(B329,Prestamos!$A:$A,0)))</f>
        <v/>
      </c>
      <c r="D329" s="13" t="n"/>
      <c r="E329" s="14" t="n"/>
      <c r="F329" s="16">
        <f>IF(B329="","",INDEX(Prestamos!$D:$D,MATCH(B329,Prestamos!$A:$A,0))-SUMIFS($H$1:H1,$B$1:B1,B329))</f>
        <v/>
      </c>
      <c r="G329" s="16">
        <f>IF(B329="","",F329*INDEX(Prestamos!$E:$E,MATCH(B329,Prestamos!$A:$A,0)))</f>
        <v/>
      </c>
      <c r="H329" s="16">
        <f>IF(B329="","",MAX(0,E329-G329))</f>
        <v/>
      </c>
      <c r="I329" s="16">
        <f>IF(B329="","",F329-H329)</f>
        <v/>
      </c>
    </row>
    <row r="330">
      <c r="A330" s="11">
        <f>IF(B330="","","PG"&amp;TEXT(ROW()-1,"0000"))</f>
        <v/>
      </c>
      <c r="B330" s="12" t="n"/>
      <c r="C330" s="11">
        <f>IF(B330="","",INDEX(Prestamos!$B:$B,MATCH(B330,Prestamos!$A:$A,0)))</f>
        <v/>
      </c>
      <c r="D330" s="13" t="n"/>
      <c r="E330" s="14" t="n"/>
      <c r="F330" s="16">
        <f>IF(B330="","",INDEX(Prestamos!$D:$D,MATCH(B330,Prestamos!$A:$A,0))-SUMIFS($H$1:H1,$B$1:B1,B330))</f>
        <v/>
      </c>
      <c r="G330" s="16">
        <f>IF(B330="","",F330*INDEX(Prestamos!$E:$E,MATCH(B330,Prestamos!$A:$A,0)))</f>
        <v/>
      </c>
      <c r="H330" s="16">
        <f>IF(B330="","",MAX(0,E330-G330))</f>
        <v/>
      </c>
      <c r="I330" s="16">
        <f>IF(B330="","",F330-H330)</f>
        <v/>
      </c>
    </row>
    <row r="331">
      <c r="A331" s="11">
        <f>IF(B331="","","PG"&amp;TEXT(ROW()-1,"0000"))</f>
        <v/>
      </c>
      <c r="B331" s="12" t="n"/>
      <c r="C331" s="11">
        <f>IF(B331="","",INDEX(Prestamos!$B:$B,MATCH(B331,Prestamos!$A:$A,0)))</f>
        <v/>
      </c>
      <c r="D331" s="13" t="n"/>
      <c r="E331" s="14" t="n"/>
      <c r="F331" s="16">
        <f>IF(B331="","",INDEX(Prestamos!$D:$D,MATCH(B331,Prestamos!$A:$A,0))-SUMIFS($H$1:H1,$B$1:B1,B331))</f>
        <v/>
      </c>
      <c r="G331" s="16">
        <f>IF(B331="","",F331*INDEX(Prestamos!$E:$E,MATCH(B331,Prestamos!$A:$A,0)))</f>
        <v/>
      </c>
      <c r="H331" s="16">
        <f>IF(B331="","",MAX(0,E331-G331))</f>
        <v/>
      </c>
      <c r="I331" s="16">
        <f>IF(B331="","",F331-H331)</f>
        <v/>
      </c>
    </row>
    <row r="332">
      <c r="A332" s="11">
        <f>IF(B332="","","PG"&amp;TEXT(ROW()-1,"0000"))</f>
        <v/>
      </c>
      <c r="B332" s="12" t="n"/>
      <c r="C332" s="11">
        <f>IF(B332="","",INDEX(Prestamos!$B:$B,MATCH(B332,Prestamos!$A:$A,0)))</f>
        <v/>
      </c>
      <c r="D332" s="13" t="n"/>
      <c r="E332" s="14" t="n"/>
      <c r="F332" s="16">
        <f>IF(B332="","",INDEX(Prestamos!$D:$D,MATCH(B332,Prestamos!$A:$A,0))-SUMIFS($H$1:H1,$B$1:B1,B332))</f>
        <v/>
      </c>
      <c r="G332" s="16">
        <f>IF(B332="","",F332*INDEX(Prestamos!$E:$E,MATCH(B332,Prestamos!$A:$A,0)))</f>
        <v/>
      </c>
      <c r="H332" s="16">
        <f>IF(B332="","",MAX(0,E332-G332))</f>
        <v/>
      </c>
      <c r="I332" s="16">
        <f>IF(B332="","",F332-H332)</f>
        <v/>
      </c>
    </row>
    <row r="333">
      <c r="A333" s="11">
        <f>IF(B333="","","PG"&amp;TEXT(ROW()-1,"0000"))</f>
        <v/>
      </c>
      <c r="B333" s="12" t="n"/>
      <c r="C333" s="11">
        <f>IF(B333="","",INDEX(Prestamos!$B:$B,MATCH(B333,Prestamos!$A:$A,0)))</f>
        <v/>
      </c>
      <c r="D333" s="13" t="n"/>
      <c r="E333" s="14" t="n"/>
      <c r="F333" s="16">
        <f>IF(B333="","",INDEX(Prestamos!$D:$D,MATCH(B333,Prestamos!$A:$A,0))-SUMIFS($H$1:H1,$B$1:B1,B333))</f>
        <v/>
      </c>
      <c r="G333" s="16">
        <f>IF(B333="","",F333*INDEX(Prestamos!$E:$E,MATCH(B333,Prestamos!$A:$A,0)))</f>
        <v/>
      </c>
      <c r="H333" s="16">
        <f>IF(B333="","",MAX(0,E333-G333))</f>
        <v/>
      </c>
      <c r="I333" s="16">
        <f>IF(B333="","",F333-H333)</f>
        <v/>
      </c>
    </row>
    <row r="334">
      <c r="A334" s="11">
        <f>IF(B334="","","PG"&amp;TEXT(ROW()-1,"0000"))</f>
        <v/>
      </c>
      <c r="B334" s="12" t="n"/>
      <c r="C334" s="11">
        <f>IF(B334="","",INDEX(Prestamos!$B:$B,MATCH(B334,Prestamos!$A:$A,0)))</f>
        <v/>
      </c>
      <c r="D334" s="13" t="n"/>
      <c r="E334" s="14" t="n"/>
      <c r="F334" s="16">
        <f>IF(B334="","",INDEX(Prestamos!$D:$D,MATCH(B334,Prestamos!$A:$A,0))-SUMIFS($H$1:H1,$B$1:B1,B334))</f>
        <v/>
      </c>
      <c r="G334" s="16">
        <f>IF(B334="","",F334*INDEX(Prestamos!$E:$E,MATCH(B334,Prestamos!$A:$A,0)))</f>
        <v/>
      </c>
      <c r="H334" s="16">
        <f>IF(B334="","",MAX(0,E334-G334))</f>
        <v/>
      </c>
      <c r="I334" s="16">
        <f>IF(B334="","",F334-H334)</f>
        <v/>
      </c>
    </row>
    <row r="335">
      <c r="A335" s="11">
        <f>IF(B335="","","PG"&amp;TEXT(ROW()-1,"0000"))</f>
        <v/>
      </c>
      <c r="B335" s="12" t="n"/>
      <c r="C335" s="11">
        <f>IF(B335="","",INDEX(Prestamos!$B:$B,MATCH(B335,Prestamos!$A:$A,0)))</f>
        <v/>
      </c>
      <c r="D335" s="13" t="n"/>
      <c r="E335" s="14" t="n"/>
      <c r="F335" s="16">
        <f>IF(B335="","",INDEX(Prestamos!$D:$D,MATCH(B335,Prestamos!$A:$A,0))-SUMIFS($H$1:H1,$B$1:B1,B335))</f>
        <v/>
      </c>
      <c r="G335" s="16">
        <f>IF(B335="","",F335*INDEX(Prestamos!$E:$E,MATCH(B335,Prestamos!$A:$A,0)))</f>
        <v/>
      </c>
      <c r="H335" s="16">
        <f>IF(B335="","",MAX(0,E335-G335))</f>
        <v/>
      </c>
      <c r="I335" s="16">
        <f>IF(B335="","",F335-H335)</f>
        <v/>
      </c>
    </row>
    <row r="336">
      <c r="A336" s="11">
        <f>IF(B336="","","PG"&amp;TEXT(ROW()-1,"0000"))</f>
        <v/>
      </c>
      <c r="B336" s="12" t="n"/>
      <c r="C336" s="11">
        <f>IF(B336="","",INDEX(Prestamos!$B:$B,MATCH(B336,Prestamos!$A:$A,0)))</f>
        <v/>
      </c>
      <c r="D336" s="13" t="n"/>
      <c r="E336" s="14" t="n"/>
      <c r="F336" s="16">
        <f>IF(B336="","",INDEX(Prestamos!$D:$D,MATCH(B336,Prestamos!$A:$A,0))-SUMIFS($H$1:H1,$B$1:B1,B336))</f>
        <v/>
      </c>
      <c r="G336" s="16">
        <f>IF(B336="","",F336*INDEX(Prestamos!$E:$E,MATCH(B336,Prestamos!$A:$A,0)))</f>
        <v/>
      </c>
      <c r="H336" s="16">
        <f>IF(B336="","",MAX(0,E336-G336))</f>
        <v/>
      </c>
      <c r="I336" s="16">
        <f>IF(B336="","",F336-H336)</f>
        <v/>
      </c>
    </row>
    <row r="337">
      <c r="A337" s="11">
        <f>IF(B337="","","PG"&amp;TEXT(ROW()-1,"0000"))</f>
        <v/>
      </c>
      <c r="B337" s="12" t="n"/>
      <c r="C337" s="11">
        <f>IF(B337="","",INDEX(Prestamos!$B:$B,MATCH(B337,Prestamos!$A:$A,0)))</f>
        <v/>
      </c>
      <c r="D337" s="13" t="n"/>
      <c r="E337" s="14" t="n"/>
      <c r="F337" s="16">
        <f>IF(B337="","",INDEX(Prestamos!$D:$D,MATCH(B337,Prestamos!$A:$A,0))-SUMIFS($H$1:H1,$B$1:B1,B337))</f>
        <v/>
      </c>
      <c r="G337" s="16">
        <f>IF(B337="","",F337*INDEX(Prestamos!$E:$E,MATCH(B337,Prestamos!$A:$A,0)))</f>
        <v/>
      </c>
      <c r="H337" s="16">
        <f>IF(B337="","",MAX(0,E337-G337))</f>
        <v/>
      </c>
      <c r="I337" s="16">
        <f>IF(B337="","",F337-H337)</f>
        <v/>
      </c>
    </row>
    <row r="338">
      <c r="A338" s="11">
        <f>IF(B338="","","PG"&amp;TEXT(ROW()-1,"0000"))</f>
        <v/>
      </c>
      <c r="B338" s="12" t="n"/>
      <c r="C338" s="11">
        <f>IF(B338="","",INDEX(Prestamos!$B:$B,MATCH(B338,Prestamos!$A:$A,0)))</f>
        <v/>
      </c>
      <c r="D338" s="13" t="n"/>
      <c r="E338" s="14" t="n"/>
      <c r="F338" s="16">
        <f>IF(B338="","",INDEX(Prestamos!$D:$D,MATCH(B338,Prestamos!$A:$A,0))-SUMIFS($H$1:H1,$B$1:B1,B338))</f>
        <v/>
      </c>
      <c r="G338" s="16">
        <f>IF(B338="","",F338*INDEX(Prestamos!$E:$E,MATCH(B338,Prestamos!$A:$A,0)))</f>
        <v/>
      </c>
      <c r="H338" s="16">
        <f>IF(B338="","",MAX(0,E338-G338))</f>
        <v/>
      </c>
      <c r="I338" s="16">
        <f>IF(B338="","",F338-H338)</f>
        <v/>
      </c>
    </row>
    <row r="339">
      <c r="A339" s="11">
        <f>IF(B339="","","PG"&amp;TEXT(ROW()-1,"0000"))</f>
        <v/>
      </c>
      <c r="B339" s="12" t="n"/>
      <c r="C339" s="11">
        <f>IF(B339="","",INDEX(Prestamos!$B:$B,MATCH(B339,Prestamos!$A:$A,0)))</f>
        <v/>
      </c>
      <c r="D339" s="13" t="n"/>
      <c r="E339" s="14" t="n"/>
      <c r="F339" s="16">
        <f>IF(B339="","",INDEX(Prestamos!$D:$D,MATCH(B339,Prestamos!$A:$A,0))-SUMIFS($H$1:H1,$B$1:B1,B339))</f>
        <v/>
      </c>
      <c r="G339" s="16">
        <f>IF(B339="","",F339*INDEX(Prestamos!$E:$E,MATCH(B339,Prestamos!$A:$A,0)))</f>
        <v/>
      </c>
      <c r="H339" s="16">
        <f>IF(B339="","",MAX(0,E339-G339))</f>
        <v/>
      </c>
      <c r="I339" s="16">
        <f>IF(B339="","",F339-H339)</f>
        <v/>
      </c>
    </row>
    <row r="340">
      <c r="A340" s="11">
        <f>IF(B340="","","PG"&amp;TEXT(ROW()-1,"0000"))</f>
        <v/>
      </c>
      <c r="B340" s="12" t="n"/>
      <c r="C340" s="11">
        <f>IF(B340="","",INDEX(Prestamos!$B:$B,MATCH(B340,Prestamos!$A:$A,0)))</f>
        <v/>
      </c>
      <c r="D340" s="13" t="n"/>
      <c r="E340" s="14" t="n"/>
      <c r="F340" s="16">
        <f>IF(B340="","",INDEX(Prestamos!$D:$D,MATCH(B340,Prestamos!$A:$A,0))-SUMIFS($H$1:H1,$B$1:B1,B340))</f>
        <v/>
      </c>
      <c r="G340" s="16">
        <f>IF(B340="","",F340*INDEX(Prestamos!$E:$E,MATCH(B340,Prestamos!$A:$A,0)))</f>
        <v/>
      </c>
      <c r="H340" s="16">
        <f>IF(B340="","",MAX(0,E340-G340))</f>
        <v/>
      </c>
      <c r="I340" s="16">
        <f>IF(B340="","",F340-H340)</f>
        <v/>
      </c>
    </row>
    <row r="341">
      <c r="A341" s="11">
        <f>IF(B341="","","PG"&amp;TEXT(ROW()-1,"0000"))</f>
        <v/>
      </c>
      <c r="B341" s="12" t="n"/>
      <c r="C341" s="11">
        <f>IF(B341="","",INDEX(Prestamos!$B:$B,MATCH(B341,Prestamos!$A:$A,0)))</f>
        <v/>
      </c>
      <c r="D341" s="13" t="n"/>
      <c r="E341" s="14" t="n"/>
      <c r="F341" s="16">
        <f>IF(B341="","",INDEX(Prestamos!$D:$D,MATCH(B341,Prestamos!$A:$A,0))-SUMIFS($H$1:H1,$B$1:B1,B341))</f>
        <v/>
      </c>
      <c r="G341" s="16">
        <f>IF(B341="","",F341*INDEX(Prestamos!$E:$E,MATCH(B341,Prestamos!$A:$A,0)))</f>
        <v/>
      </c>
      <c r="H341" s="16">
        <f>IF(B341="","",MAX(0,E341-G341))</f>
        <v/>
      </c>
      <c r="I341" s="16">
        <f>IF(B341="","",F341-H341)</f>
        <v/>
      </c>
    </row>
    <row r="342">
      <c r="A342" s="11">
        <f>IF(B342="","","PG"&amp;TEXT(ROW()-1,"0000"))</f>
        <v/>
      </c>
      <c r="B342" s="12" t="n"/>
      <c r="C342" s="11">
        <f>IF(B342="","",INDEX(Prestamos!$B:$B,MATCH(B342,Prestamos!$A:$A,0)))</f>
        <v/>
      </c>
      <c r="D342" s="13" t="n"/>
      <c r="E342" s="14" t="n"/>
      <c r="F342" s="16">
        <f>IF(B342="","",INDEX(Prestamos!$D:$D,MATCH(B342,Prestamos!$A:$A,0))-SUMIFS($H$1:H1,$B$1:B1,B342))</f>
        <v/>
      </c>
      <c r="G342" s="16">
        <f>IF(B342="","",F342*INDEX(Prestamos!$E:$E,MATCH(B342,Prestamos!$A:$A,0)))</f>
        <v/>
      </c>
      <c r="H342" s="16">
        <f>IF(B342="","",MAX(0,E342-G342))</f>
        <v/>
      </c>
      <c r="I342" s="16">
        <f>IF(B342="","",F342-H342)</f>
        <v/>
      </c>
    </row>
    <row r="343">
      <c r="A343" s="11">
        <f>IF(B343="","","PG"&amp;TEXT(ROW()-1,"0000"))</f>
        <v/>
      </c>
      <c r="B343" s="12" t="n"/>
      <c r="C343" s="11">
        <f>IF(B343="","",INDEX(Prestamos!$B:$B,MATCH(B343,Prestamos!$A:$A,0)))</f>
        <v/>
      </c>
      <c r="D343" s="13" t="n"/>
      <c r="E343" s="14" t="n"/>
      <c r="F343" s="16">
        <f>IF(B343="","",INDEX(Prestamos!$D:$D,MATCH(B343,Prestamos!$A:$A,0))-SUMIFS($H$1:H1,$B$1:B1,B343))</f>
        <v/>
      </c>
      <c r="G343" s="16">
        <f>IF(B343="","",F343*INDEX(Prestamos!$E:$E,MATCH(B343,Prestamos!$A:$A,0)))</f>
        <v/>
      </c>
      <c r="H343" s="16">
        <f>IF(B343="","",MAX(0,E343-G343))</f>
        <v/>
      </c>
      <c r="I343" s="16">
        <f>IF(B343="","",F343-H343)</f>
        <v/>
      </c>
    </row>
    <row r="344">
      <c r="A344" s="11">
        <f>IF(B344="","","PG"&amp;TEXT(ROW()-1,"0000"))</f>
        <v/>
      </c>
      <c r="B344" s="12" t="n"/>
      <c r="C344" s="11">
        <f>IF(B344="","",INDEX(Prestamos!$B:$B,MATCH(B344,Prestamos!$A:$A,0)))</f>
        <v/>
      </c>
      <c r="D344" s="13" t="n"/>
      <c r="E344" s="14" t="n"/>
      <c r="F344" s="16">
        <f>IF(B344="","",INDEX(Prestamos!$D:$D,MATCH(B344,Prestamos!$A:$A,0))-SUMIFS($H$1:H1,$B$1:B1,B344))</f>
        <v/>
      </c>
      <c r="G344" s="16">
        <f>IF(B344="","",F344*INDEX(Prestamos!$E:$E,MATCH(B344,Prestamos!$A:$A,0)))</f>
        <v/>
      </c>
      <c r="H344" s="16">
        <f>IF(B344="","",MAX(0,E344-G344))</f>
        <v/>
      </c>
      <c r="I344" s="16">
        <f>IF(B344="","",F344-H344)</f>
        <v/>
      </c>
    </row>
    <row r="345">
      <c r="A345" s="11">
        <f>IF(B345="","","PG"&amp;TEXT(ROW()-1,"0000"))</f>
        <v/>
      </c>
      <c r="B345" s="12" t="n"/>
      <c r="C345" s="11">
        <f>IF(B345="","",INDEX(Prestamos!$B:$B,MATCH(B345,Prestamos!$A:$A,0)))</f>
        <v/>
      </c>
      <c r="D345" s="13" t="n"/>
      <c r="E345" s="14" t="n"/>
      <c r="F345" s="16">
        <f>IF(B345="","",INDEX(Prestamos!$D:$D,MATCH(B345,Prestamos!$A:$A,0))-SUMIFS($H$1:H1,$B$1:B1,B345))</f>
        <v/>
      </c>
      <c r="G345" s="16">
        <f>IF(B345="","",F345*INDEX(Prestamos!$E:$E,MATCH(B345,Prestamos!$A:$A,0)))</f>
        <v/>
      </c>
      <c r="H345" s="16">
        <f>IF(B345="","",MAX(0,E345-G345))</f>
        <v/>
      </c>
      <c r="I345" s="16">
        <f>IF(B345="","",F345-H345)</f>
        <v/>
      </c>
    </row>
    <row r="346">
      <c r="A346" s="11">
        <f>IF(B346="","","PG"&amp;TEXT(ROW()-1,"0000"))</f>
        <v/>
      </c>
      <c r="B346" s="12" t="n"/>
      <c r="C346" s="11">
        <f>IF(B346="","",INDEX(Prestamos!$B:$B,MATCH(B346,Prestamos!$A:$A,0)))</f>
        <v/>
      </c>
      <c r="D346" s="13" t="n"/>
      <c r="E346" s="14" t="n"/>
      <c r="F346" s="16">
        <f>IF(B346="","",INDEX(Prestamos!$D:$D,MATCH(B346,Prestamos!$A:$A,0))-SUMIFS($H$1:H1,$B$1:B1,B346))</f>
        <v/>
      </c>
      <c r="G346" s="16">
        <f>IF(B346="","",F346*INDEX(Prestamos!$E:$E,MATCH(B346,Prestamos!$A:$A,0)))</f>
        <v/>
      </c>
      <c r="H346" s="16">
        <f>IF(B346="","",MAX(0,E346-G346))</f>
        <v/>
      </c>
      <c r="I346" s="16">
        <f>IF(B346="","",F346-H346)</f>
        <v/>
      </c>
    </row>
    <row r="347">
      <c r="A347" s="11">
        <f>IF(B347="","","PG"&amp;TEXT(ROW()-1,"0000"))</f>
        <v/>
      </c>
      <c r="B347" s="12" t="n"/>
      <c r="C347" s="11">
        <f>IF(B347="","",INDEX(Prestamos!$B:$B,MATCH(B347,Prestamos!$A:$A,0)))</f>
        <v/>
      </c>
      <c r="D347" s="13" t="n"/>
      <c r="E347" s="14" t="n"/>
      <c r="F347" s="16">
        <f>IF(B347="","",INDEX(Prestamos!$D:$D,MATCH(B347,Prestamos!$A:$A,0))-SUMIFS($H$1:H1,$B$1:B1,B347))</f>
        <v/>
      </c>
      <c r="G347" s="16">
        <f>IF(B347="","",F347*INDEX(Prestamos!$E:$E,MATCH(B347,Prestamos!$A:$A,0)))</f>
        <v/>
      </c>
      <c r="H347" s="16">
        <f>IF(B347="","",MAX(0,E347-G347))</f>
        <v/>
      </c>
      <c r="I347" s="16">
        <f>IF(B347="","",F347-H347)</f>
        <v/>
      </c>
    </row>
    <row r="348">
      <c r="A348" s="11">
        <f>IF(B348="","","PG"&amp;TEXT(ROW()-1,"0000"))</f>
        <v/>
      </c>
      <c r="B348" s="12" t="n"/>
      <c r="C348" s="11">
        <f>IF(B348="","",INDEX(Prestamos!$B:$B,MATCH(B348,Prestamos!$A:$A,0)))</f>
        <v/>
      </c>
      <c r="D348" s="13" t="n"/>
      <c r="E348" s="14" t="n"/>
      <c r="F348" s="16">
        <f>IF(B348="","",INDEX(Prestamos!$D:$D,MATCH(B348,Prestamos!$A:$A,0))-SUMIFS($H$1:H1,$B$1:B1,B348))</f>
        <v/>
      </c>
      <c r="G348" s="16">
        <f>IF(B348="","",F348*INDEX(Prestamos!$E:$E,MATCH(B348,Prestamos!$A:$A,0)))</f>
        <v/>
      </c>
      <c r="H348" s="16">
        <f>IF(B348="","",MAX(0,E348-G348))</f>
        <v/>
      </c>
      <c r="I348" s="16">
        <f>IF(B348="","",F348-H348)</f>
        <v/>
      </c>
    </row>
    <row r="349">
      <c r="A349" s="11">
        <f>IF(B349="","","PG"&amp;TEXT(ROW()-1,"0000"))</f>
        <v/>
      </c>
      <c r="B349" s="12" t="n"/>
      <c r="C349" s="11">
        <f>IF(B349="","",INDEX(Prestamos!$B:$B,MATCH(B349,Prestamos!$A:$A,0)))</f>
        <v/>
      </c>
      <c r="D349" s="13" t="n"/>
      <c r="E349" s="14" t="n"/>
      <c r="F349" s="16">
        <f>IF(B349="","",INDEX(Prestamos!$D:$D,MATCH(B349,Prestamos!$A:$A,0))-SUMIFS($H$1:H1,$B$1:B1,B349))</f>
        <v/>
      </c>
      <c r="G349" s="16">
        <f>IF(B349="","",F349*INDEX(Prestamos!$E:$E,MATCH(B349,Prestamos!$A:$A,0)))</f>
        <v/>
      </c>
      <c r="H349" s="16">
        <f>IF(B349="","",MAX(0,E349-G349))</f>
        <v/>
      </c>
      <c r="I349" s="16">
        <f>IF(B349="","",F349-H349)</f>
        <v/>
      </c>
    </row>
    <row r="350">
      <c r="A350" s="11">
        <f>IF(B350="","","PG"&amp;TEXT(ROW()-1,"0000"))</f>
        <v/>
      </c>
      <c r="B350" s="12" t="n"/>
      <c r="C350" s="11">
        <f>IF(B350="","",INDEX(Prestamos!$B:$B,MATCH(B350,Prestamos!$A:$A,0)))</f>
        <v/>
      </c>
      <c r="D350" s="13" t="n"/>
      <c r="E350" s="14" t="n"/>
      <c r="F350" s="16">
        <f>IF(B350="","",INDEX(Prestamos!$D:$D,MATCH(B350,Prestamos!$A:$A,0))-SUMIFS($H$1:H1,$B$1:B1,B350))</f>
        <v/>
      </c>
      <c r="G350" s="16">
        <f>IF(B350="","",F350*INDEX(Prestamos!$E:$E,MATCH(B350,Prestamos!$A:$A,0)))</f>
        <v/>
      </c>
      <c r="H350" s="16">
        <f>IF(B350="","",MAX(0,E350-G350))</f>
        <v/>
      </c>
      <c r="I350" s="16">
        <f>IF(B350="","",F350-H350)</f>
        <v/>
      </c>
    </row>
    <row r="351">
      <c r="A351" s="11">
        <f>IF(B351="","","PG"&amp;TEXT(ROW()-1,"0000"))</f>
        <v/>
      </c>
      <c r="B351" s="12" t="n"/>
      <c r="C351" s="11">
        <f>IF(B351="","",INDEX(Prestamos!$B:$B,MATCH(B351,Prestamos!$A:$A,0)))</f>
        <v/>
      </c>
      <c r="D351" s="13" t="n"/>
      <c r="E351" s="14" t="n"/>
      <c r="F351" s="16">
        <f>IF(B351="","",INDEX(Prestamos!$D:$D,MATCH(B351,Prestamos!$A:$A,0))-SUMIFS($H$1:H1,$B$1:B1,B351))</f>
        <v/>
      </c>
      <c r="G351" s="16">
        <f>IF(B351="","",F351*INDEX(Prestamos!$E:$E,MATCH(B351,Prestamos!$A:$A,0)))</f>
        <v/>
      </c>
      <c r="H351" s="16">
        <f>IF(B351="","",MAX(0,E351-G351))</f>
        <v/>
      </c>
      <c r="I351" s="16">
        <f>IF(B351="","",F351-H351)</f>
        <v/>
      </c>
    </row>
    <row r="352">
      <c r="A352" s="11">
        <f>IF(B352="","","PG"&amp;TEXT(ROW()-1,"0000"))</f>
        <v/>
      </c>
      <c r="B352" s="12" t="n"/>
      <c r="C352" s="11">
        <f>IF(B352="","",INDEX(Prestamos!$B:$B,MATCH(B352,Prestamos!$A:$A,0)))</f>
        <v/>
      </c>
      <c r="D352" s="13" t="n"/>
      <c r="E352" s="14" t="n"/>
      <c r="F352" s="16">
        <f>IF(B352="","",INDEX(Prestamos!$D:$D,MATCH(B352,Prestamos!$A:$A,0))-SUMIFS($H$1:H1,$B$1:B1,B352))</f>
        <v/>
      </c>
      <c r="G352" s="16">
        <f>IF(B352="","",F352*INDEX(Prestamos!$E:$E,MATCH(B352,Prestamos!$A:$A,0)))</f>
        <v/>
      </c>
      <c r="H352" s="16">
        <f>IF(B352="","",MAX(0,E352-G352))</f>
        <v/>
      </c>
      <c r="I352" s="16">
        <f>IF(B352="","",F352-H352)</f>
        <v/>
      </c>
    </row>
    <row r="353">
      <c r="A353" s="11">
        <f>IF(B353="","","PG"&amp;TEXT(ROW()-1,"0000"))</f>
        <v/>
      </c>
      <c r="B353" s="12" t="n"/>
      <c r="C353" s="11">
        <f>IF(B353="","",INDEX(Prestamos!$B:$B,MATCH(B353,Prestamos!$A:$A,0)))</f>
        <v/>
      </c>
      <c r="D353" s="13" t="n"/>
      <c r="E353" s="14" t="n"/>
      <c r="F353" s="16">
        <f>IF(B353="","",INDEX(Prestamos!$D:$D,MATCH(B353,Prestamos!$A:$A,0))-SUMIFS($H$1:H1,$B$1:B1,B353))</f>
        <v/>
      </c>
      <c r="G353" s="16">
        <f>IF(B353="","",F353*INDEX(Prestamos!$E:$E,MATCH(B353,Prestamos!$A:$A,0)))</f>
        <v/>
      </c>
      <c r="H353" s="16">
        <f>IF(B353="","",MAX(0,E353-G353))</f>
        <v/>
      </c>
      <c r="I353" s="16">
        <f>IF(B353="","",F353-H353)</f>
        <v/>
      </c>
    </row>
    <row r="354">
      <c r="A354" s="11">
        <f>IF(B354="","","PG"&amp;TEXT(ROW()-1,"0000"))</f>
        <v/>
      </c>
      <c r="B354" s="12" t="n"/>
      <c r="C354" s="11">
        <f>IF(B354="","",INDEX(Prestamos!$B:$B,MATCH(B354,Prestamos!$A:$A,0)))</f>
        <v/>
      </c>
      <c r="D354" s="13" t="n"/>
      <c r="E354" s="14" t="n"/>
      <c r="F354" s="16">
        <f>IF(B354="","",INDEX(Prestamos!$D:$D,MATCH(B354,Prestamos!$A:$A,0))-SUMIFS($H$1:H1,$B$1:B1,B354))</f>
        <v/>
      </c>
      <c r="G354" s="16">
        <f>IF(B354="","",F354*INDEX(Prestamos!$E:$E,MATCH(B354,Prestamos!$A:$A,0)))</f>
        <v/>
      </c>
      <c r="H354" s="16">
        <f>IF(B354="","",MAX(0,E354-G354))</f>
        <v/>
      </c>
      <c r="I354" s="16">
        <f>IF(B354="","",F354-H354)</f>
        <v/>
      </c>
    </row>
    <row r="355">
      <c r="A355" s="11">
        <f>IF(B355="","","PG"&amp;TEXT(ROW()-1,"0000"))</f>
        <v/>
      </c>
      <c r="B355" s="12" t="n"/>
      <c r="C355" s="11">
        <f>IF(B355="","",INDEX(Prestamos!$B:$B,MATCH(B355,Prestamos!$A:$A,0)))</f>
        <v/>
      </c>
      <c r="D355" s="13" t="n"/>
      <c r="E355" s="14" t="n"/>
      <c r="F355" s="16">
        <f>IF(B355="","",INDEX(Prestamos!$D:$D,MATCH(B355,Prestamos!$A:$A,0))-SUMIFS($H$1:H1,$B$1:B1,B355))</f>
        <v/>
      </c>
      <c r="G355" s="16">
        <f>IF(B355="","",F355*INDEX(Prestamos!$E:$E,MATCH(B355,Prestamos!$A:$A,0)))</f>
        <v/>
      </c>
      <c r="H355" s="16">
        <f>IF(B355="","",MAX(0,E355-G355))</f>
        <v/>
      </c>
      <c r="I355" s="16">
        <f>IF(B355="","",F355-H355)</f>
        <v/>
      </c>
    </row>
    <row r="356">
      <c r="A356" s="11">
        <f>IF(B356="","","PG"&amp;TEXT(ROW()-1,"0000"))</f>
        <v/>
      </c>
      <c r="B356" s="12" t="n"/>
      <c r="C356" s="11">
        <f>IF(B356="","",INDEX(Prestamos!$B:$B,MATCH(B356,Prestamos!$A:$A,0)))</f>
        <v/>
      </c>
      <c r="D356" s="13" t="n"/>
      <c r="E356" s="14" t="n"/>
      <c r="F356" s="16">
        <f>IF(B356="","",INDEX(Prestamos!$D:$D,MATCH(B356,Prestamos!$A:$A,0))-SUMIFS($H$1:H1,$B$1:B1,B356))</f>
        <v/>
      </c>
      <c r="G356" s="16">
        <f>IF(B356="","",F356*INDEX(Prestamos!$E:$E,MATCH(B356,Prestamos!$A:$A,0)))</f>
        <v/>
      </c>
      <c r="H356" s="16">
        <f>IF(B356="","",MAX(0,E356-G356))</f>
        <v/>
      </c>
      <c r="I356" s="16">
        <f>IF(B356="","",F356-H356)</f>
        <v/>
      </c>
    </row>
    <row r="357">
      <c r="A357" s="11">
        <f>IF(B357="","","PG"&amp;TEXT(ROW()-1,"0000"))</f>
        <v/>
      </c>
      <c r="B357" s="12" t="n"/>
      <c r="C357" s="11">
        <f>IF(B357="","",INDEX(Prestamos!$B:$B,MATCH(B357,Prestamos!$A:$A,0)))</f>
        <v/>
      </c>
      <c r="D357" s="13" t="n"/>
      <c r="E357" s="14" t="n"/>
      <c r="F357" s="16">
        <f>IF(B357="","",INDEX(Prestamos!$D:$D,MATCH(B357,Prestamos!$A:$A,0))-SUMIFS($H$1:H1,$B$1:B1,B357))</f>
        <v/>
      </c>
      <c r="G357" s="16">
        <f>IF(B357="","",F357*INDEX(Prestamos!$E:$E,MATCH(B357,Prestamos!$A:$A,0)))</f>
        <v/>
      </c>
      <c r="H357" s="16">
        <f>IF(B357="","",MAX(0,E357-G357))</f>
        <v/>
      </c>
      <c r="I357" s="16">
        <f>IF(B357="","",F357-H357)</f>
        <v/>
      </c>
    </row>
    <row r="358">
      <c r="A358" s="11">
        <f>IF(B358="","","PG"&amp;TEXT(ROW()-1,"0000"))</f>
        <v/>
      </c>
      <c r="B358" s="12" t="n"/>
      <c r="C358" s="11">
        <f>IF(B358="","",INDEX(Prestamos!$B:$B,MATCH(B358,Prestamos!$A:$A,0)))</f>
        <v/>
      </c>
      <c r="D358" s="13" t="n"/>
      <c r="E358" s="14" t="n"/>
      <c r="F358" s="16">
        <f>IF(B358="","",INDEX(Prestamos!$D:$D,MATCH(B358,Prestamos!$A:$A,0))-SUMIFS($H$1:H1,$B$1:B1,B358))</f>
        <v/>
      </c>
      <c r="G358" s="16">
        <f>IF(B358="","",F358*INDEX(Prestamos!$E:$E,MATCH(B358,Prestamos!$A:$A,0)))</f>
        <v/>
      </c>
      <c r="H358" s="16">
        <f>IF(B358="","",MAX(0,E358-G358))</f>
        <v/>
      </c>
      <c r="I358" s="16">
        <f>IF(B358="","",F358-H358)</f>
        <v/>
      </c>
    </row>
    <row r="359">
      <c r="A359" s="11">
        <f>IF(B359="","","PG"&amp;TEXT(ROW()-1,"0000"))</f>
        <v/>
      </c>
      <c r="B359" s="12" t="n"/>
      <c r="C359" s="11">
        <f>IF(B359="","",INDEX(Prestamos!$B:$B,MATCH(B359,Prestamos!$A:$A,0)))</f>
        <v/>
      </c>
      <c r="D359" s="13" t="n"/>
      <c r="E359" s="14" t="n"/>
      <c r="F359" s="16">
        <f>IF(B359="","",INDEX(Prestamos!$D:$D,MATCH(B359,Prestamos!$A:$A,0))-SUMIFS($H$1:H1,$B$1:B1,B359))</f>
        <v/>
      </c>
      <c r="G359" s="16">
        <f>IF(B359="","",F359*INDEX(Prestamos!$E:$E,MATCH(B359,Prestamos!$A:$A,0)))</f>
        <v/>
      </c>
      <c r="H359" s="16">
        <f>IF(B359="","",MAX(0,E359-G359))</f>
        <v/>
      </c>
      <c r="I359" s="16">
        <f>IF(B359="","",F359-H359)</f>
        <v/>
      </c>
    </row>
    <row r="360">
      <c r="A360" s="11">
        <f>IF(B360="","","PG"&amp;TEXT(ROW()-1,"0000"))</f>
        <v/>
      </c>
      <c r="B360" s="12" t="n"/>
      <c r="C360" s="11">
        <f>IF(B360="","",INDEX(Prestamos!$B:$B,MATCH(B360,Prestamos!$A:$A,0)))</f>
        <v/>
      </c>
      <c r="D360" s="13" t="n"/>
      <c r="E360" s="14" t="n"/>
      <c r="F360" s="16">
        <f>IF(B360="","",INDEX(Prestamos!$D:$D,MATCH(B360,Prestamos!$A:$A,0))-SUMIFS($H$1:H1,$B$1:B1,B360))</f>
        <v/>
      </c>
      <c r="G360" s="16">
        <f>IF(B360="","",F360*INDEX(Prestamos!$E:$E,MATCH(B360,Prestamos!$A:$A,0)))</f>
        <v/>
      </c>
      <c r="H360" s="16">
        <f>IF(B360="","",MAX(0,E360-G360))</f>
        <v/>
      </c>
      <c r="I360" s="16">
        <f>IF(B360="","",F360-H360)</f>
        <v/>
      </c>
    </row>
    <row r="361">
      <c r="A361" s="11">
        <f>IF(B361="","","PG"&amp;TEXT(ROW()-1,"0000"))</f>
        <v/>
      </c>
      <c r="B361" s="12" t="n"/>
      <c r="C361" s="11">
        <f>IF(B361="","",INDEX(Prestamos!$B:$B,MATCH(B361,Prestamos!$A:$A,0)))</f>
        <v/>
      </c>
      <c r="D361" s="13" t="n"/>
      <c r="E361" s="14" t="n"/>
      <c r="F361" s="16">
        <f>IF(B361="","",INDEX(Prestamos!$D:$D,MATCH(B361,Prestamos!$A:$A,0))-SUMIFS($H$1:H1,$B$1:B1,B361))</f>
        <v/>
      </c>
      <c r="G361" s="16">
        <f>IF(B361="","",F361*INDEX(Prestamos!$E:$E,MATCH(B361,Prestamos!$A:$A,0)))</f>
        <v/>
      </c>
      <c r="H361" s="16">
        <f>IF(B361="","",MAX(0,E361-G361))</f>
        <v/>
      </c>
      <c r="I361" s="16">
        <f>IF(B361="","",F361-H361)</f>
        <v/>
      </c>
    </row>
    <row r="362">
      <c r="A362" s="11">
        <f>IF(B362="","","PG"&amp;TEXT(ROW()-1,"0000"))</f>
        <v/>
      </c>
      <c r="B362" s="12" t="n"/>
      <c r="C362" s="11">
        <f>IF(B362="","",INDEX(Prestamos!$B:$B,MATCH(B362,Prestamos!$A:$A,0)))</f>
        <v/>
      </c>
      <c r="D362" s="13" t="n"/>
      <c r="E362" s="14" t="n"/>
      <c r="F362" s="16">
        <f>IF(B362="","",INDEX(Prestamos!$D:$D,MATCH(B362,Prestamos!$A:$A,0))-SUMIFS($H$1:H1,$B$1:B1,B362))</f>
        <v/>
      </c>
      <c r="G362" s="16">
        <f>IF(B362="","",F362*INDEX(Prestamos!$E:$E,MATCH(B362,Prestamos!$A:$A,0)))</f>
        <v/>
      </c>
      <c r="H362" s="16">
        <f>IF(B362="","",MAX(0,E362-G362))</f>
        <v/>
      </c>
      <c r="I362" s="16">
        <f>IF(B362="","",F362-H362)</f>
        <v/>
      </c>
    </row>
    <row r="363">
      <c r="A363" s="11">
        <f>IF(B363="","","PG"&amp;TEXT(ROW()-1,"0000"))</f>
        <v/>
      </c>
      <c r="B363" s="12" t="n"/>
      <c r="C363" s="11">
        <f>IF(B363="","",INDEX(Prestamos!$B:$B,MATCH(B363,Prestamos!$A:$A,0)))</f>
        <v/>
      </c>
      <c r="D363" s="13" t="n"/>
      <c r="E363" s="14" t="n"/>
      <c r="F363" s="16">
        <f>IF(B363="","",INDEX(Prestamos!$D:$D,MATCH(B363,Prestamos!$A:$A,0))-SUMIFS($H$1:H1,$B$1:B1,B363))</f>
        <v/>
      </c>
      <c r="G363" s="16">
        <f>IF(B363="","",F363*INDEX(Prestamos!$E:$E,MATCH(B363,Prestamos!$A:$A,0)))</f>
        <v/>
      </c>
      <c r="H363" s="16">
        <f>IF(B363="","",MAX(0,E363-G363))</f>
        <v/>
      </c>
      <c r="I363" s="16">
        <f>IF(B363="","",F363-H363)</f>
        <v/>
      </c>
    </row>
    <row r="364">
      <c r="A364" s="11">
        <f>IF(B364="","","PG"&amp;TEXT(ROW()-1,"0000"))</f>
        <v/>
      </c>
      <c r="B364" s="12" t="n"/>
      <c r="C364" s="11">
        <f>IF(B364="","",INDEX(Prestamos!$B:$B,MATCH(B364,Prestamos!$A:$A,0)))</f>
        <v/>
      </c>
      <c r="D364" s="13" t="n"/>
      <c r="E364" s="14" t="n"/>
      <c r="F364" s="16">
        <f>IF(B364="","",INDEX(Prestamos!$D:$D,MATCH(B364,Prestamos!$A:$A,0))-SUMIFS($H$1:H1,$B$1:B1,B364))</f>
        <v/>
      </c>
      <c r="G364" s="16">
        <f>IF(B364="","",F364*INDEX(Prestamos!$E:$E,MATCH(B364,Prestamos!$A:$A,0)))</f>
        <v/>
      </c>
      <c r="H364" s="16">
        <f>IF(B364="","",MAX(0,E364-G364))</f>
        <v/>
      </c>
      <c r="I364" s="16">
        <f>IF(B364="","",F364-H364)</f>
        <v/>
      </c>
    </row>
    <row r="365">
      <c r="A365" s="11">
        <f>IF(B365="","","PG"&amp;TEXT(ROW()-1,"0000"))</f>
        <v/>
      </c>
      <c r="B365" s="12" t="n"/>
      <c r="C365" s="11">
        <f>IF(B365="","",INDEX(Prestamos!$B:$B,MATCH(B365,Prestamos!$A:$A,0)))</f>
        <v/>
      </c>
      <c r="D365" s="13" t="n"/>
      <c r="E365" s="14" t="n"/>
      <c r="F365" s="16">
        <f>IF(B365="","",INDEX(Prestamos!$D:$D,MATCH(B365,Prestamos!$A:$A,0))-SUMIFS($H$1:H1,$B$1:B1,B365))</f>
        <v/>
      </c>
      <c r="G365" s="16">
        <f>IF(B365="","",F365*INDEX(Prestamos!$E:$E,MATCH(B365,Prestamos!$A:$A,0)))</f>
        <v/>
      </c>
      <c r="H365" s="16">
        <f>IF(B365="","",MAX(0,E365-G365))</f>
        <v/>
      </c>
      <c r="I365" s="16">
        <f>IF(B365="","",F365-H365)</f>
        <v/>
      </c>
    </row>
    <row r="366">
      <c r="A366" s="11">
        <f>IF(B366="","","PG"&amp;TEXT(ROW()-1,"0000"))</f>
        <v/>
      </c>
      <c r="B366" s="12" t="n"/>
      <c r="C366" s="11">
        <f>IF(B366="","",INDEX(Prestamos!$B:$B,MATCH(B366,Prestamos!$A:$A,0)))</f>
        <v/>
      </c>
      <c r="D366" s="13" t="n"/>
      <c r="E366" s="14" t="n"/>
      <c r="F366" s="16">
        <f>IF(B366="","",INDEX(Prestamos!$D:$D,MATCH(B366,Prestamos!$A:$A,0))-SUMIFS($H$1:H1,$B$1:B1,B366))</f>
        <v/>
      </c>
      <c r="G366" s="16">
        <f>IF(B366="","",F366*INDEX(Prestamos!$E:$E,MATCH(B366,Prestamos!$A:$A,0)))</f>
        <v/>
      </c>
      <c r="H366" s="16">
        <f>IF(B366="","",MAX(0,E366-G366))</f>
        <v/>
      </c>
      <c r="I366" s="16">
        <f>IF(B366="","",F366-H366)</f>
        <v/>
      </c>
    </row>
    <row r="367">
      <c r="A367" s="11">
        <f>IF(B367="","","PG"&amp;TEXT(ROW()-1,"0000"))</f>
        <v/>
      </c>
      <c r="B367" s="12" t="n"/>
      <c r="C367" s="11">
        <f>IF(B367="","",INDEX(Prestamos!$B:$B,MATCH(B367,Prestamos!$A:$A,0)))</f>
        <v/>
      </c>
      <c r="D367" s="13" t="n"/>
      <c r="E367" s="14" t="n"/>
      <c r="F367" s="16">
        <f>IF(B367="","",INDEX(Prestamos!$D:$D,MATCH(B367,Prestamos!$A:$A,0))-SUMIFS($H$1:H1,$B$1:B1,B367))</f>
        <v/>
      </c>
      <c r="G367" s="16">
        <f>IF(B367="","",F367*INDEX(Prestamos!$E:$E,MATCH(B367,Prestamos!$A:$A,0)))</f>
        <v/>
      </c>
      <c r="H367" s="16">
        <f>IF(B367="","",MAX(0,E367-G367))</f>
        <v/>
      </c>
      <c r="I367" s="16">
        <f>IF(B367="","",F367-H367)</f>
        <v/>
      </c>
    </row>
    <row r="368">
      <c r="A368" s="11">
        <f>IF(B368="","","PG"&amp;TEXT(ROW()-1,"0000"))</f>
        <v/>
      </c>
      <c r="B368" s="12" t="n"/>
      <c r="C368" s="11">
        <f>IF(B368="","",INDEX(Prestamos!$B:$B,MATCH(B368,Prestamos!$A:$A,0)))</f>
        <v/>
      </c>
      <c r="D368" s="13" t="n"/>
      <c r="E368" s="14" t="n"/>
      <c r="F368" s="16">
        <f>IF(B368="","",INDEX(Prestamos!$D:$D,MATCH(B368,Prestamos!$A:$A,0))-SUMIFS($H$1:H1,$B$1:B1,B368))</f>
        <v/>
      </c>
      <c r="G368" s="16">
        <f>IF(B368="","",F368*INDEX(Prestamos!$E:$E,MATCH(B368,Prestamos!$A:$A,0)))</f>
        <v/>
      </c>
      <c r="H368" s="16">
        <f>IF(B368="","",MAX(0,E368-G368))</f>
        <v/>
      </c>
      <c r="I368" s="16">
        <f>IF(B368="","",F368-H368)</f>
        <v/>
      </c>
    </row>
    <row r="369">
      <c r="A369" s="11">
        <f>IF(B369="","","PG"&amp;TEXT(ROW()-1,"0000"))</f>
        <v/>
      </c>
      <c r="B369" s="12" t="n"/>
      <c r="C369" s="11">
        <f>IF(B369="","",INDEX(Prestamos!$B:$B,MATCH(B369,Prestamos!$A:$A,0)))</f>
        <v/>
      </c>
      <c r="D369" s="13" t="n"/>
      <c r="E369" s="14" t="n"/>
      <c r="F369" s="16">
        <f>IF(B369="","",INDEX(Prestamos!$D:$D,MATCH(B369,Prestamos!$A:$A,0))-SUMIFS($H$1:H1,$B$1:B1,B369))</f>
        <v/>
      </c>
      <c r="G369" s="16">
        <f>IF(B369="","",F369*INDEX(Prestamos!$E:$E,MATCH(B369,Prestamos!$A:$A,0)))</f>
        <v/>
      </c>
      <c r="H369" s="16">
        <f>IF(B369="","",MAX(0,E369-G369))</f>
        <v/>
      </c>
      <c r="I369" s="16">
        <f>IF(B369="","",F369-H369)</f>
        <v/>
      </c>
    </row>
    <row r="370">
      <c r="A370" s="11">
        <f>IF(B370="","","PG"&amp;TEXT(ROW()-1,"0000"))</f>
        <v/>
      </c>
      <c r="B370" s="12" t="n"/>
      <c r="C370" s="11">
        <f>IF(B370="","",INDEX(Prestamos!$B:$B,MATCH(B370,Prestamos!$A:$A,0)))</f>
        <v/>
      </c>
      <c r="D370" s="13" t="n"/>
      <c r="E370" s="14" t="n"/>
      <c r="F370" s="16">
        <f>IF(B370="","",INDEX(Prestamos!$D:$D,MATCH(B370,Prestamos!$A:$A,0))-SUMIFS($H$1:H1,$B$1:B1,B370))</f>
        <v/>
      </c>
      <c r="G370" s="16">
        <f>IF(B370="","",F370*INDEX(Prestamos!$E:$E,MATCH(B370,Prestamos!$A:$A,0)))</f>
        <v/>
      </c>
      <c r="H370" s="16">
        <f>IF(B370="","",MAX(0,E370-G370))</f>
        <v/>
      </c>
      <c r="I370" s="16">
        <f>IF(B370="","",F370-H370)</f>
        <v/>
      </c>
    </row>
    <row r="371">
      <c r="A371" s="11">
        <f>IF(B371="","","PG"&amp;TEXT(ROW()-1,"0000"))</f>
        <v/>
      </c>
      <c r="B371" s="12" t="n"/>
      <c r="C371" s="11">
        <f>IF(B371="","",INDEX(Prestamos!$B:$B,MATCH(B371,Prestamos!$A:$A,0)))</f>
        <v/>
      </c>
      <c r="D371" s="13" t="n"/>
      <c r="E371" s="14" t="n"/>
      <c r="F371" s="16">
        <f>IF(B371="","",INDEX(Prestamos!$D:$D,MATCH(B371,Prestamos!$A:$A,0))-SUMIFS($H$1:H1,$B$1:B1,B371))</f>
        <v/>
      </c>
      <c r="G371" s="16">
        <f>IF(B371="","",F371*INDEX(Prestamos!$E:$E,MATCH(B371,Prestamos!$A:$A,0)))</f>
        <v/>
      </c>
      <c r="H371" s="16">
        <f>IF(B371="","",MAX(0,E371-G371))</f>
        <v/>
      </c>
      <c r="I371" s="16">
        <f>IF(B371="","",F371-H371)</f>
        <v/>
      </c>
    </row>
    <row r="372">
      <c r="A372" s="11">
        <f>IF(B372="","","PG"&amp;TEXT(ROW()-1,"0000"))</f>
        <v/>
      </c>
      <c r="B372" s="12" t="n"/>
      <c r="C372" s="11">
        <f>IF(B372="","",INDEX(Prestamos!$B:$B,MATCH(B372,Prestamos!$A:$A,0)))</f>
        <v/>
      </c>
      <c r="D372" s="13" t="n"/>
      <c r="E372" s="14" t="n"/>
      <c r="F372" s="16">
        <f>IF(B372="","",INDEX(Prestamos!$D:$D,MATCH(B372,Prestamos!$A:$A,0))-SUMIFS($H$1:H1,$B$1:B1,B372))</f>
        <v/>
      </c>
      <c r="G372" s="16">
        <f>IF(B372="","",F372*INDEX(Prestamos!$E:$E,MATCH(B372,Prestamos!$A:$A,0)))</f>
        <v/>
      </c>
      <c r="H372" s="16">
        <f>IF(B372="","",MAX(0,E372-G372))</f>
        <v/>
      </c>
      <c r="I372" s="16">
        <f>IF(B372="","",F372-H372)</f>
        <v/>
      </c>
    </row>
    <row r="373">
      <c r="A373" s="11">
        <f>IF(B373="","","PG"&amp;TEXT(ROW()-1,"0000"))</f>
        <v/>
      </c>
      <c r="B373" s="12" t="n"/>
      <c r="C373" s="11">
        <f>IF(B373="","",INDEX(Prestamos!$B:$B,MATCH(B373,Prestamos!$A:$A,0)))</f>
        <v/>
      </c>
      <c r="D373" s="13" t="n"/>
      <c r="E373" s="14" t="n"/>
      <c r="F373" s="16">
        <f>IF(B373="","",INDEX(Prestamos!$D:$D,MATCH(B373,Prestamos!$A:$A,0))-SUMIFS($H$1:H1,$B$1:B1,B373))</f>
        <v/>
      </c>
      <c r="G373" s="16">
        <f>IF(B373="","",F373*INDEX(Prestamos!$E:$E,MATCH(B373,Prestamos!$A:$A,0)))</f>
        <v/>
      </c>
      <c r="H373" s="16">
        <f>IF(B373="","",MAX(0,E373-G373))</f>
        <v/>
      </c>
      <c r="I373" s="16">
        <f>IF(B373="","",F373-H373)</f>
        <v/>
      </c>
    </row>
    <row r="374">
      <c r="A374" s="11">
        <f>IF(B374="","","PG"&amp;TEXT(ROW()-1,"0000"))</f>
        <v/>
      </c>
      <c r="B374" s="12" t="n"/>
      <c r="C374" s="11">
        <f>IF(B374="","",INDEX(Prestamos!$B:$B,MATCH(B374,Prestamos!$A:$A,0)))</f>
        <v/>
      </c>
      <c r="D374" s="13" t="n"/>
      <c r="E374" s="14" t="n"/>
      <c r="F374" s="16">
        <f>IF(B374="","",INDEX(Prestamos!$D:$D,MATCH(B374,Prestamos!$A:$A,0))-SUMIFS($H$1:H1,$B$1:B1,B374))</f>
        <v/>
      </c>
      <c r="G374" s="16">
        <f>IF(B374="","",F374*INDEX(Prestamos!$E:$E,MATCH(B374,Prestamos!$A:$A,0)))</f>
        <v/>
      </c>
      <c r="H374" s="16">
        <f>IF(B374="","",MAX(0,E374-G374))</f>
        <v/>
      </c>
      <c r="I374" s="16">
        <f>IF(B374="","",F374-H374)</f>
        <v/>
      </c>
    </row>
    <row r="375">
      <c r="A375" s="11">
        <f>IF(B375="","","PG"&amp;TEXT(ROW()-1,"0000"))</f>
        <v/>
      </c>
      <c r="B375" s="12" t="n"/>
      <c r="C375" s="11">
        <f>IF(B375="","",INDEX(Prestamos!$B:$B,MATCH(B375,Prestamos!$A:$A,0)))</f>
        <v/>
      </c>
      <c r="D375" s="13" t="n"/>
      <c r="E375" s="14" t="n"/>
      <c r="F375" s="16">
        <f>IF(B375="","",INDEX(Prestamos!$D:$D,MATCH(B375,Prestamos!$A:$A,0))-SUMIFS($H$1:H1,$B$1:B1,B375))</f>
        <v/>
      </c>
      <c r="G375" s="16">
        <f>IF(B375="","",F375*INDEX(Prestamos!$E:$E,MATCH(B375,Prestamos!$A:$A,0)))</f>
        <v/>
      </c>
      <c r="H375" s="16">
        <f>IF(B375="","",MAX(0,E375-G375))</f>
        <v/>
      </c>
      <c r="I375" s="16">
        <f>IF(B375="","",F375-H375)</f>
        <v/>
      </c>
    </row>
    <row r="376">
      <c r="A376" s="11">
        <f>IF(B376="","","PG"&amp;TEXT(ROW()-1,"0000"))</f>
        <v/>
      </c>
      <c r="B376" s="12" t="n"/>
      <c r="C376" s="11">
        <f>IF(B376="","",INDEX(Prestamos!$B:$B,MATCH(B376,Prestamos!$A:$A,0)))</f>
        <v/>
      </c>
      <c r="D376" s="13" t="n"/>
      <c r="E376" s="14" t="n"/>
      <c r="F376" s="16">
        <f>IF(B376="","",INDEX(Prestamos!$D:$D,MATCH(B376,Prestamos!$A:$A,0))-SUMIFS($H$1:H1,$B$1:B1,B376))</f>
        <v/>
      </c>
      <c r="G376" s="16">
        <f>IF(B376="","",F376*INDEX(Prestamos!$E:$E,MATCH(B376,Prestamos!$A:$A,0)))</f>
        <v/>
      </c>
      <c r="H376" s="16">
        <f>IF(B376="","",MAX(0,E376-G376))</f>
        <v/>
      </c>
      <c r="I376" s="16">
        <f>IF(B376="","",F376-H376)</f>
        <v/>
      </c>
    </row>
    <row r="377">
      <c r="A377" s="11">
        <f>IF(B377="","","PG"&amp;TEXT(ROW()-1,"0000"))</f>
        <v/>
      </c>
      <c r="B377" s="12" t="n"/>
      <c r="C377" s="11">
        <f>IF(B377="","",INDEX(Prestamos!$B:$B,MATCH(B377,Prestamos!$A:$A,0)))</f>
        <v/>
      </c>
      <c r="D377" s="13" t="n"/>
      <c r="E377" s="14" t="n"/>
      <c r="F377" s="16">
        <f>IF(B377="","",INDEX(Prestamos!$D:$D,MATCH(B377,Prestamos!$A:$A,0))-SUMIFS($H$1:H1,$B$1:B1,B377))</f>
        <v/>
      </c>
      <c r="G377" s="16">
        <f>IF(B377="","",F377*INDEX(Prestamos!$E:$E,MATCH(B377,Prestamos!$A:$A,0)))</f>
        <v/>
      </c>
      <c r="H377" s="16">
        <f>IF(B377="","",MAX(0,E377-G377))</f>
        <v/>
      </c>
      <c r="I377" s="16">
        <f>IF(B377="","",F377-H377)</f>
        <v/>
      </c>
    </row>
    <row r="378">
      <c r="A378" s="11">
        <f>IF(B378="","","PG"&amp;TEXT(ROW()-1,"0000"))</f>
        <v/>
      </c>
      <c r="B378" s="12" t="n"/>
      <c r="C378" s="11">
        <f>IF(B378="","",INDEX(Prestamos!$B:$B,MATCH(B378,Prestamos!$A:$A,0)))</f>
        <v/>
      </c>
      <c r="D378" s="13" t="n"/>
      <c r="E378" s="14" t="n"/>
      <c r="F378" s="16">
        <f>IF(B378="","",INDEX(Prestamos!$D:$D,MATCH(B378,Prestamos!$A:$A,0))-SUMIFS($H$1:H1,$B$1:B1,B378))</f>
        <v/>
      </c>
      <c r="G378" s="16">
        <f>IF(B378="","",F378*INDEX(Prestamos!$E:$E,MATCH(B378,Prestamos!$A:$A,0)))</f>
        <v/>
      </c>
      <c r="H378" s="16">
        <f>IF(B378="","",MAX(0,E378-G378))</f>
        <v/>
      </c>
      <c r="I378" s="16">
        <f>IF(B378="","",F378-H378)</f>
        <v/>
      </c>
    </row>
    <row r="379">
      <c r="A379" s="11">
        <f>IF(B379="","","PG"&amp;TEXT(ROW()-1,"0000"))</f>
        <v/>
      </c>
      <c r="B379" s="12" t="n"/>
      <c r="C379" s="11">
        <f>IF(B379="","",INDEX(Prestamos!$B:$B,MATCH(B379,Prestamos!$A:$A,0)))</f>
        <v/>
      </c>
      <c r="D379" s="13" t="n"/>
      <c r="E379" s="14" t="n"/>
      <c r="F379" s="16">
        <f>IF(B379="","",INDEX(Prestamos!$D:$D,MATCH(B379,Prestamos!$A:$A,0))-SUMIFS($H$1:H1,$B$1:B1,B379))</f>
        <v/>
      </c>
      <c r="G379" s="16">
        <f>IF(B379="","",F379*INDEX(Prestamos!$E:$E,MATCH(B379,Prestamos!$A:$A,0)))</f>
        <v/>
      </c>
      <c r="H379" s="16">
        <f>IF(B379="","",MAX(0,E379-G379))</f>
        <v/>
      </c>
      <c r="I379" s="16">
        <f>IF(B379="","",F379-H379)</f>
        <v/>
      </c>
    </row>
    <row r="380">
      <c r="A380" s="11">
        <f>IF(B380="","","PG"&amp;TEXT(ROW()-1,"0000"))</f>
        <v/>
      </c>
      <c r="B380" s="12" t="n"/>
      <c r="C380" s="11">
        <f>IF(B380="","",INDEX(Prestamos!$B:$B,MATCH(B380,Prestamos!$A:$A,0)))</f>
        <v/>
      </c>
      <c r="D380" s="13" t="n"/>
      <c r="E380" s="14" t="n"/>
      <c r="F380" s="16">
        <f>IF(B380="","",INDEX(Prestamos!$D:$D,MATCH(B380,Prestamos!$A:$A,0))-SUMIFS($H$1:H1,$B$1:B1,B380))</f>
        <v/>
      </c>
      <c r="G380" s="16">
        <f>IF(B380="","",F380*INDEX(Prestamos!$E:$E,MATCH(B380,Prestamos!$A:$A,0)))</f>
        <v/>
      </c>
      <c r="H380" s="16">
        <f>IF(B380="","",MAX(0,E380-G380))</f>
        <v/>
      </c>
      <c r="I380" s="16">
        <f>IF(B380="","",F380-H380)</f>
        <v/>
      </c>
    </row>
    <row r="381">
      <c r="A381" s="11">
        <f>IF(B381="","","PG"&amp;TEXT(ROW()-1,"0000"))</f>
        <v/>
      </c>
      <c r="B381" s="12" t="n"/>
      <c r="C381" s="11">
        <f>IF(B381="","",INDEX(Prestamos!$B:$B,MATCH(B381,Prestamos!$A:$A,0)))</f>
        <v/>
      </c>
      <c r="D381" s="13" t="n"/>
      <c r="E381" s="14" t="n"/>
      <c r="F381" s="16">
        <f>IF(B381="","",INDEX(Prestamos!$D:$D,MATCH(B381,Prestamos!$A:$A,0))-SUMIFS($H$1:H1,$B$1:B1,B381))</f>
        <v/>
      </c>
      <c r="G381" s="16">
        <f>IF(B381="","",F381*INDEX(Prestamos!$E:$E,MATCH(B381,Prestamos!$A:$A,0)))</f>
        <v/>
      </c>
      <c r="H381" s="16">
        <f>IF(B381="","",MAX(0,E381-G381))</f>
        <v/>
      </c>
      <c r="I381" s="16">
        <f>IF(B381="","",F381-H381)</f>
        <v/>
      </c>
    </row>
    <row r="382">
      <c r="A382" s="11">
        <f>IF(B382="","","PG"&amp;TEXT(ROW()-1,"0000"))</f>
        <v/>
      </c>
      <c r="B382" s="12" t="n"/>
      <c r="C382" s="11">
        <f>IF(B382="","",INDEX(Prestamos!$B:$B,MATCH(B382,Prestamos!$A:$A,0)))</f>
        <v/>
      </c>
      <c r="D382" s="13" t="n"/>
      <c r="E382" s="14" t="n"/>
      <c r="F382" s="16">
        <f>IF(B382="","",INDEX(Prestamos!$D:$D,MATCH(B382,Prestamos!$A:$A,0))-SUMIFS($H$1:H1,$B$1:B1,B382))</f>
        <v/>
      </c>
      <c r="G382" s="16">
        <f>IF(B382="","",F382*INDEX(Prestamos!$E:$E,MATCH(B382,Prestamos!$A:$A,0)))</f>
        <v/>
      </c>
      <c r="H382" s="16">
        <f>IF(B382="","",MAX(0,E382-G382))</f>
        <v/>
      </c>
      <c r="I382" s="16">
        <f>IF(B382="","",F382-H382)</f>
        <v/>
      </c>
    </row>
    <row r="383">
      <c r="A383" s="11">
        <f>IF(B383="","","PG"&amp;TEXT(ROW()-1,"0000"))</f>
        <v/>
      </c>
      <c r="B383" s="12" t="n"/>
      <c r="C383" s="11">
        <f>IF(B383="","",INDEX(Prestamos!$B:$B,MATCH(B383,Prestamos!$A:$A,0)))</f>
        <v/>
      </c>
      <c r="D383" s="13" t="n"/>
      <c r="E383" s="14" t="n"/>
      <c r="F383" s="16">
        <f>IF(B383="","",INDEX(Prestamos!$D:$D,MATCH(B383,Prestamos!$A:$A,0))-SUMIFS($H$1:H1,$B$1:B1,B383))</f>
        <v/>
      </c>
      <c r="G383" s="16">
        <f>IF(B383="","",F383*INDEX(Prestamos!$E:$E,MATCH(B383,Prestamos!$A:$A,0)))</f>
        <v/>
      </c>
      <c r="H383" s="16">
        <f>IF(B383="","",MAX(0,E383-G383))</f>
        <v/>
      </c>
      <c r="I383" s="16">
        <f>IF(B383="","",F383-H383)</f>
        <v/>
      </c>
    </row>
    <row r="384">
      <c r="A384" s="11">
        <f>IF(B384="","","PG"&amp;TEXT(ROW()-1,"0000"))</f>
        <v/>
      </c>
      <c r="B384" s="12" t="n"/>
      <c r="C384" s="11">
        <f>IF(B384="","",INDEX(Prestamos!$B:$B,MATCH(B384,Prestamos!$A:$A,0)))</f>
        <v/>
      </c>
      <c r="D384" s="13" t="n"/>
      <c r="E384" s="14" t="n"/>
      <c r="F384" s="16">
        <f>IF(B384="","",INDEX(Prestamos!$D:$D,MATCH(B384,Prestamos!$A:$A,0))-SUMIFS($H$1:H1,$B$1:B1,B384))</f>
        <v/>
      </c>
      <c r="G384" s="16">
        <f>IF(B384="","",F384*INDEX(Prestamos!$E:$E,MATCH(B384,Prestamos!$A:$A,0)))</f>
        <v/>
      </c>
      <c r="H384" s="16">
        <f>IF(B384="","",MAX(0,E384-G384))</f>
        <v/>
      </c>
      <c r="I384" s="16">
        <f>IF(B384="","",F384-H384)</f>
        <v/>
      </c>
    </row>
    <row r="385">
      <c r="A385" s="11">
        <f>IF(B385="","","PG"&amp;TEXT(ROW()-1,"0000"))</f>
        <v/>
      </c>
      <c r="B385" s="12" t="n"/>
      <c r="C385" s="11">
        <f>IF(B385="","",INDEX(Prestamos!$B:$B,MATCH(B385,Prestamos!$A:$A,0)))</f>
        <v/>
      </c>
      <c r="D385" s="13" t="n"/>
      <c r="E385" s="14" t="n"/>
      <c r="F385" s="16">
        <f>IF(B385="","",INDEX(Prestamos!$D:$D,MATCH(B385,Prestamos!$A:$A,0))-SUMIFS($H$1:H1,$B$1:B1,B385))</f>
        <v/>
      </c>
      <c r="G385" s="16">
        <f>IF(B385="","",F385*INDEX(Prestamos!$E:$E,MATCH(B385,Prestamos!$A:$A,0)))</f>
        <v/>
      </c>
      <c r="H385" s="16">
        <f>IF(B385="","",MAX(0,E385-G385))</f>
        <v/>
      </c>
      <c r="I385" s="16">
        <f>IF(B385="","",F385-H385)</f>
        <v/>
      </c>
    </row>
    <row r="386">
      <c r="A386" s="11">
        <f>IF(B386="","","PG"&amp;TEXT(ROW()-1,"0000"))</f>
        <v/>
      </c>
      <c r="B386" s="12" t="n"/>
      <c r="C386" s="11">
        <f>IF(B386="","",INDEX(Prestamos!$B:$B,MATCH(B386,Prestamos!$A:$A,0)))</f>
        <v/>
      </c>
      <c r="D386" s="13" t="n"/>
      <c r="E386" s="14" t="n"/>
      <c r="F386" s="16">
        <f>IF(B386="","",INDEX(Prestamos!$D:$D,MATCH(B386,Prestamos!$A:$A,0))-SUMIFS($H$1:H1,$B$1:B1,B386))</f>
        <v/>
      </c>
      <c r="G386" s="16">
        <f>IF(B386="","",F386*INDEX(Prestamos!$E:$E,MATCH(B386,Prestamos!$A:$A,0)))</f>
        <v/>
      </c>
      <c r="H386" s="16">
        <f>IF(B386="","",MAX(0,E386-G386))</f>
        <v/>
      </c>
      <c r="I386" s="16">
        <f>IF(B386="","",F386-H386)</f>
        <v/>
      </c>
    </row>
    <row r="387">
      <c r="A387" s="11">
        <f>IF(B387="","","PG"&amp;TEXT(ROW()-1,"0000"))</f>
        <v/>
      </c>
      <c r="B387" s="12" t="n"/>
      <c r="C387" s="11">
        <f>IF(B387="","",INDEX(Prestamos!$B:$B,MATCH(B387,Prestamos!$A:$A,0)))</f>
        <v/>
      </c>
      <c r="D387" s="13" t="n"/>
      <c r="E387" s="14" t="n"/>
      <c r="F387" s="16">
        <f>IF(B387="","",INDEX(Prestamos!$D:$D,MATCH(B387,Prestamos!$A:$A,0))-SUMIFS($H$1:H1,$B$1:B1,B387))</f>
        <v/>
      </c>
      <c r="G387" s="16">
        <f>IF(B387="","",F387*INDEX(Prestamos!$E:$E,MATCH(B387,Prestamos!$A:$A,0)))</f>
        <v/>
      </c>
      <c r="H387" s="16">
        <f>IF(B387="","",MAX(0,E387-G387))</f>
        <v/>
      </c>
      <c r="I387" s="16">
        <f>IF(B387="","",F387-H387)</f>
        <v/>
      </c>
    </row>
    <row r="388">
      <c r="A388" s="11">
        <f>IF(B388="","","PG"&amp;TEXT(ROW()-1,"0000"))</f>
        <v/>
      </c>
      <c r="B388" s="12" t="n"/>
      <c r="C388" s="11">
        <f>IF(B388="","",INDEX(Prestamos!$B:$B,MATCH(B388,Prestamos!$A:$A,0)))</f>
        <v/>
      </c>
      <c r="D388" s="13" t="n"/>
      <c r="E388" s="14" t="n"/>
      <c r="F388" s="16">
        <f>IF(B388="","",INDEX(Prestamos!$D:$D,MATCH(B388,Prestamos!$A:$A,0))-SUMIFS($H$1:H1,$B$1:B1,B388))</f>
        <v/>
      </c>
      <c r="G388" s="16">
        <f>IF(B388="","",F388*INDEX(Prestamos!$E:$E,MATCH(B388,Prestamos!$A:$A,0)))</f>
        <v/>
      </c>
      <c r="H388" s="16">
        <f>IF(B388="","",MAX(0,E388-G388))</f>
        <v/>
      </c>
      <c r="I388" s="16">
        <f>IF(B388="","",F388-H388)</f>
        <v/>
      </c>
    </row>
    <row r="389">
      <c r="A389" s="11">
        <f>IF(B389="","","PG"&amp;TEXT(ROW()-1,"0000"))</f>
        <v/>
      </c>
      <c r="B389" s="12" t="n"/>
      <c r="C389" s="11">
        <f>IF(B389="","",INDEX(Prestamos!$B:$B,MATCH(B389,Prestamos!$A:$A,0)))</f>
        <v/>
      </c>
      <c r="D389" s="13" t="n"/>
      <c r="E389" s="14" t="n"/>
      <c r="F389" s="16">
        <f>IF(B389="","",INDEX(Prestamos!$D:$D,MATCH(B389,Prestamos!$A:$A,0))-SUMIFS($H$1:H1,$B$1:B1,B389))</f>
        <v/>
      </c>
      <c r="G389" s="16">
        <f>IF(B389="","",F389*INDEX(Prestamos!$E:$E,MATCH(B389,Prestamos!$A:$A,0)))</f>
        <v/>
      </c>
      <c r="H389" s="16">
        <f>IF(B389="","",MAX(0,E389-G389))</f>
        <v/>
      </c>
      <c r="I389" s="16">
        <f>IF(B389="","",F389-H389)</f>
        <v/>
      </c>
    </row>
    <row r="390">
      <c r="A390" s="11">
        <f>IF(B390="","","PG"&amp;TEXT(ROW()-1,"0000"))</f>
        <v/>
      </c>
      <c r="B390" s="12" t="n"/>
      <c r="C390" s="11">
        <f>IF(B390="","",INDEX(Prestamos!$B:$B,MATCH(B390,Prestamos!$A:$A,0)))</f>
        <v/>
      </c>
      <c r="D390" s="13" t="n"/>
      <c r="E390" s="14" t="n"/>
      <c r="F390" s="16">
        <f>IF(B390="","",INDEX(Prestamos!$D:$D,MATCH(B390,Prestamos!$A:$A,0))-SUMIFS($H$1:H1,$B$1:B1,B390))</f>
        <v/>
      </c>
      <c r="G390" s="16">
        <f>IF(B390="","",F390*INDEX(Prestamos!$E:$E,MATCH(B390,Prestamos!$A:$A,0)))</f>
        <v/>
      </c>
      <c r="H390" s="16">
        <f>IF(B390="","",MAX(0,E390-G390))</f>
        <v/>
      </c>
      <c r="I390" s="16">
        <f>IF(B390="","",F390-H390)</f>
        <v/>
      </c>
    </row>
    <row r="391">
      <c r="A391" s="11">
        <f>IF(B391="","","PG"&amp;TEXT(ROW()-1,"0000"))</f>
        <v/>
      </c>
      <c r="B391" s="12" t="n"/>
      <c r="C391" s="11">
        <f>IF(B391="","",INDEX(Prestamos!$B:$B,MATCH(B391,Prestamos!$A:$A,0)))</f>
        <v/>
      </c>
      <c r="D391" s="13" t="n"/>
      <c r="E391" s="14" t="n"/>
      <c r="F391" s="16">
        <f>IF(B391="","",INDEX(Prestamos!$D:$D,MATCH(B391,Prestamos!$A:$A,0))-SUMIFS($H$1:H1,$B$1:B1,B391))</f>
        <v/>
      </c>
      <c r="G391" s="16">
        <f>IF(B391="","",F391*INDEX(Prestamos!$E:$E,MATCH(B391,Prestamos!$A:$A,0)))</f>
        <v/>
      </c>
      <c r="H391" s="16">
        <f>IF(B391="","",MAX(0,E391-G391))</f>
        <v/>
      </c>
      <c r="I391" s="16">
        <f>IF(B391="","",F391-H391)</f>
        <v/>
      </c>
    </row>
    <row r="392">
      <c r="A392" s="11">
        <f>IF(B392="","","PG"&amp;TEXT(ROW()-1,"0000"))</f>
        <v/>
      </c>
      <c r="B392" s="12" t="n"/>
      <c r="C392" s="11">
        <f>IF(B392="","",INDEX(Prestamos!$B:$B,MATCH(B392,Prestamos!$A:$A,0)))</f>
        <v/>
      </c>
      <c r="D392" s="13" t="n"/>
      <c r="E392" s="14" t="n"/>
      <c r="F392" s="16">
        <f>IF(B392="","",INDEX(Prestamos!$D:$D,MATCH(B392,Prestamos!$A:$A,0))-SUMIFS($H$1:H1,$B$1:B1,B392))</f>
        <v/>
      </c>
      <c r="G392" s="16">
        <f>IF(B392="","",F392*INDEX(Prestamos!$E:$E,MATCH(B392,Prestamos!$A:$A,0)))</f>
        <v/>
      </c>
      <c r="H392" s="16">
        <f>IF(B392="","",MAX(0,E392-G392))</f>
        <v/>
      </c>
      <c r="I392" s="16">
        <f>IF(B392="","",F392-H392)</f>
        <v/>
      </c>
    </row>
    <row r="393">
      <c r="A393" s="11">
        <f>IF(B393="","","PG"&amp;TEXT(ROW()-1,"0000"))</f>
        <v/>
      </c>
      <c r="B393" s="12" t="n"/>
      <c r="C393" s="11">
        <f>IF(B393="","",INDEX(Prestamos!$B:$B,MATCH(B393,Prestamos!$A:$A,0)))</f>
        <v/>
      </c>
      <c r="D393" s="13" t="n"/>
      <c r="E393" s="14" t="n"/>
      <c r="F393" s="16">
        <f>IF(B393="","",INDEX(Prestamos!$D:$D,MATCH(B393,Prestamos!$A:$A,0))-SUMIFS($H$1:H1,$B$1:B1,B393))</f>
        <v/>
      </c>
      <c r="G393" s="16">
        <f>IF(B393="","",F393*INDEX(Prestamos!$E:$E,MATCH(B393,Prestamos!$A:$A,0)))</f>
        <v/>
      </c>
      <c r="H393" s="16">
        <f>IF(B393="","",MAX(0,E393-G393))</f>
        <v/>
      </c>
      <c r="I393" s="16">
        <f>IF(B393="","",F393-H393)</f>
        <v/>
      </c>
    </row>
    <row r="394">
      <c r="A394" s="11">
        <f>IF(B394="","","PG"&amp;TEXT(ROW()-1,"0000"))</f>
        <v/>
      </c>
      <c r="B394" s="12" t="n"/>
      <c r="C394" s="11">
        <f>IF(B394="","",INDEX(Prestamos!$B:$B,MATCH(B394,Prestamos!$A:$A,0)))</f>
        <v/>
      </c>
      <c r="D394" s="13" t="n"/>
      <c r="E394" s="14" t="n"/>
      <c r="F394" s="16">
        <f>IF(B394="","",INDEX(Prestamos!$D:$D,MATCH(B394,Prestamos!$A:$A,0))-SUMIFS($H$1:H1,$B$1:B1,B394))</f>
        <v/>
      </c>
      <c r="G394" s="16">
        <f>IF(B394="","",F394*INDEX(Prestamos!$E:$E,MATCH(B394,Prestamos!$A:$A,0)))</f>
        <v/>
      </c>
      <c r="H394" s="16">
        <f>IF(B394="","",MAX(0,E394-G394))</f>
        <v/>
      </c>
      <c r="I394" s="16">
        <f>IF(B394="","",F394-H394)</f>
        <v/>
      </c>
    </row>
    <row r="395">
      <c r="A395" s="11">
        <f>IF(B395="","","PG"&amp;TEXT(ROW()-1,"0000"))</f>
        <v/>
      </c>
      <c r="B395" s="12" t="n"/>
      <c r="C395" s="11">
        <f>IF(B395="","",INDEX(Prestamos!$B:$B,MATCH(B395,Prestamos!$A:$A,0)))</f>
        <v/>
      </c>
      <c r="D395" s="13" t="n"/>
      <c r="E395" s="14" t="n"/>
      <c r="F395" s="16">
        <f>IF(B395="","",INDEX(Prestamos!$D:$D,MATCH(B395,Prestamos!$A:$A,0))-SUMIFS($H$1:H1,$B$1:B1,B395))</f>
        <v/>
      </c>
      <c r="G395" s="16">
        <f>IF(B395="","",F395*INDEX(Prestamos!$E:$E,MATCH(B395,Prestamos!$A:$A,0)))</f>
        <v/>
      </c>
      <c r="H395" s="16">
        <f>IF(B395="","",MAX(0,E395-G395))</f>
        <v/>
      </c>
      <c r="I395" s="16">
        <f>IF(B395="","",F395-H395)</f>
        <v/>
      </c>
    </row>
    <row r="396">
      <c r="A396" s="11">
        <f>IF(B396="","","PG"&amp;TEXT(ROW()-1,"0000"))</f>
        <v/>
      </c>
      <c r="B396" s="12" t="n"/>
      <c r="C396" s="11">
        <f>IF(B396="","",INDEX(Prestamos!$B:$B,MATCH(B396,Prestamos!$A:$A,0)))</f>
        <v/>
      </c>
      <c r="D396" s="13" t="n"/>
      <c r="E396" s="14" t="n"/>
      <c r="F396" s="16">
        <f>IF(B396="","",INDEX(Prestamos!$D:$D,MATCH(B396,Prestamos!$A:$A,0))-SUMIFS($H$1:H1,$B$1:B1,B396))</f>
        <v/>
      </c>
      <c r="G396" s="16">
        <f>IF(B396="","",F396*INDEX(Prestamos!$E:$E,MATCH(B396,Prestamos!$A:$A,0)))</f>
        <v/>
      </c>
      <c r="H396" s="16">
        <f>IF(B396="","",MAX(0,E396-G396))</f>
        <v/>
      </c>
      <c r="I396" s="16">
        <f>IF(B396="","",F396-H396)</f>
        <v/>
      </c>
    </row>
    <row r="397">
      <c r="A397" s="11">
        <f>IF(B397="","","PG"&amp;TEXT(ROW()-1,"0000"))</f>
        <v/>
      </c>
      <c r="B397" s="12" t="n"/>
      <c r="C397" s="11">
        <f>IF(B397="","",INDEX(Prestamos!$B:$B,MATCH(B397,Prestamos!$A:$A,0)))</f>
        <v/>
      </c>
      <c r="D397" s="13" t="n"/>
      <c r="E397" s="14" t="n"/>
      <c r="F397" s="16">
        <f>IF(B397="","",INDEX(Prestamos!$D:$D,MATCH(B397,Prestamos!$A:$A,0))-SUMIFS($H$1:H1,$B$1:B1,B397))</f>
        <v/>
      </c>
      <c r="G397" s="16">
        <f>IF(B397="","",F397*INDEX(Prestamos!$E:$E,MATCH(B397,Prestamos!$A:$A,0)))</f>
        <v/>
      </c>
      <c r="H397" s="16">
        <f>IF(B397="","",MAX(0,E397-G397))</f>
        <v/>
      </c>
      <c r="I397" s="16">
        <f>IF(B397="","",F397-H397)</f>
        <v/>
      </c>
    </row>
    <row r="398">
      <c r="A398" s="11">
        <f>IF(B398="","","PG"&amp;TEXT(ROW()-1,"0000"))</f>
        <v/>
      </c>
      <c r="B398" s="12" t="n"/>
      <c r="C398" s="11">
        <f>IF(B398="","",INDEX(Prestamos!$B:$B,MATCH(B398,Prestamos!$A:$A,0)))</f>
        <v/>
      </c>
      <c r="D398" s="13" t="n"/>
      <c r="E398" s="14" t="n"/>
      <c r="F398" s="16">
        <f>IF(B398="","",INDEX(Prestamos!$D:$D,MATCH(B398,Prestamos!$A:$A,0))-SUMIFS($H$1:H1,$B$1:B1,B398))</f>
        <v/>
      </c>
      <c r="G398" s="16">
        <f>IF(B398="","",F398*INDEX(Prestamos!$E:$E,MATCH(B398,Prestamos!$A:$A,0)))</f>
        <v/>
      </c>
      <c r="H398" s="16">
        <f>IF(B398="","",MAX(0,E398-G398))</f>
        <v/>
      </c>
      <c r="I398" s="16">
        <f>IF(B398="","",F398-H398)</f>
        <v/>
      </c>
    </row>
    <row r="399">
      <c r="A399" s="11">
        <f>IF(B399="","","PG"&amp;TEXT(ROW()-1,"0000"))</f>
        <v/>
      </c>
      <c r="B399" s="12" t="n"/>
      <c r="C399" s="11">
        <f>IF(B399="","",INDEX(Prestamos!$B:$B,MATCH(B399,Prestamos!$A:$A,0)))</f>
        <v/>
      </c>
      <c r="D399" s="13" t="n"/>
      <c r="E399" s="14" t="n"/>
      <c r="F399" s="16">
        <f>IF(B399="","",INDEX(Prestamos!$D:$D,MATCH(B399,Prestamos!$A:$A,0))-SUMIFS($H$1:H1,$B$1:B1,B399))</f>
        <v/>
      </c>
      <c r="G399" s="16">
        <f>IF(B399="","",F399*INDEX(Prestamos!$E:$E,MATCH(B399,Prestamos!$A:$A,0)))</f>
        <v/>
      </c>
      <c r="H399" s="16">
        <f>IF(B399="","",MAX(0,E399-G399))</f>
        <v/>
      </c>
      <c r="I399" s="16">
        <f>IF(B399="","",F399-H399)</f>
        <v/>
      </c>
    </row>
    <row r="400">
      <c r="A400" s="11">
        <f>IF(B400="","","PG"&amp;TEXT(ROW()-1,"0000"))</f>
        <v/>
      </c>
      <c r="B400" s="12" t="n"/>
      <c r="C400" s="11">
        <f>IF(B400="","",INDEX(Prestamos!$B:$B,MATCH(B400,Prestamos!$A:$A,0)))</f>
        <v/>
      </c>
      <c r="D400" s="13" t="n"/>
      <c r="E400" s="14" t="n"/>
      <c r="F400" s="16">
        <f>IF(B400="","",INDEX(Prestamos!$D:$D,MATCH(B400,Prestamos!$A:$A,0))-SUMIFS($H$1:H1,$B$1:B1,B400))</f>
        <v/>
      </c>
      <c r="G400" s="16">
        <f>IF(B400="","",F400*INDEX(Prestamos!$E:$E,MATCH(B400,Prestamos!$A:$A,0)))</f>
        <v/>
      </c>
      <c r="H400" s="16">
        <f>IF(B400="","",MAX(0,E400-G400))</f>
        <v/>
      </c>
      <c r="I400" s="16">
        <f>IF(B400="","",F400-H400)</f>
        <v/>
      </c>
    </row>
  </sheetData>
  <autoFilter ref="A1:I400"/>
  <dataValidations count="1">
    <dataValidation sqref="B2:B400" showDropDown="0" showInputMessage="0" showErrorMessage="0" allowBlank="1" type="list">
      <formula1>=Prestamos!$A$2:$A$400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2026-07-28T15:56:58Z</dcterms:created>
  <dcterms:modified xsi:type="dcterms:W3CDTF">2026-07-28T15:56:59Z</dcterms:modified>
</cp:coreProperties>
</file>